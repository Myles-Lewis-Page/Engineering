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es.page\Desktop\"/>
    </mc:Choice>
  </mc:AlternateContent>
  <xr:revisionPtr revIDLastSave="0" documentId="8_{5C84BFA5-F55E-495E-A536-A8BED430E95D}" xr6:coauthVersionLast="47" xr6:coauthVersionMax="47" xr10:uidLastSave="{00000000-0000-0000-0000-000000000000}"/>
  <bookViews>
    <workbookView xWindow="28680" yWindow="-120" windowWidth="29040" windowHeight="15720" activeTab="1" xr2:uid="{C157A4A6-AA46-4558-A796-75E392F5EB22}"/>
  </bookViews>
  <sheets>
    <sheet name="Dropdown" sheetId="2" r:id="rId1"/>
    <sheet name="FAB" sheetId="1" r:id="rId2"/>
    <sheet name="Enginering" sheetId="3" r:id="rId3"/>
    <sheet name="Field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0" i="3" l="1"/>
  <c r="I17" i="3"/>
  <c r="J17" i="3" s="1"/>
  <c r="J6" i="3"/>
  <c r="J5" i="3"/>
  <c r="B20" i="3"/>
  <c r="B19" i="3"/>
  <c r="B18" i="3"/>
  <c r="A35" i="5"/>
  <c r="G39" i="3"/>
  <c r="H35" i="5"/>
  <c r="H36" i="5"/>
  <c r="H37" i="5"/>
  <c r="H38" i="5"/>
  <c r="F35" i="5"/>
  <c r="F36" i="5"/>
  <c r="F37" i="5"/>
  <c r="F38" i="5"/>
  <c r="H33" i="5"/>
  <c r="H34" i="5"/>
  <c r="H32" i="5"/>
  <c r="F33" i="5"/>
  <c r="F34" i="5"/>
  <c r="F32" i="5"/>
  <c r="E31" i="5"/>
  <c r="C32" i="5"/>
  <c r="C33" i="5"/>
  <c r="C31" i="5"/>
  <c r="A33" i="5"/>
  <c r="B32" i="5"/>
  <c r="A32" i="5"/>
  <c r="A31" i="5"/>
  <c r="B31" i="5"/>
  <c r="A28" i="5"/>
  <c r="A27" i="5"/>
  <c r="A26" i="5"/>
  <c r="A25" i="5"/>
  <c r="A24" i="5"/>
  <c r="B28" i="5"/>
  <c r="B27" i="5"/>
  <c r="B26" i="5"/>
  <c r="B25" i="5"/>
  <c r="B24" i="5"/>
  <c r="B23" i="5"/>
  <c r="B21" i="5"/>
  <c r="B20" i="5"/>
  <c r="B19" i="5"/>
  <c r="B17" i="5"/>
  <c r="H27" i="5"/>
  <c r="H26" i="5"/>
  <c r="C28" i="5"/>
  <c r="E28" i="5" s="1"/>
  <c r="E27" i="5"/>
  <c r="F25" i="5"/>
  <c r="F24" i="5"/>
  <c r="F22" i="5"/>
  <c r="H22" i="5" s="1"/>
  <c r="F21" i="5"/>
  <c r="H21" i="5" s="1"/>
  <c r="H20" i="5"/>
  <c r="H19" i="5"/>
  <c r="F20" i="5"/>
  <c r="F19" i="5"/>
  <c r="C18" i="5"/>
  <c r="C19" i="5"/>
  <c r="C20" i="5"/>
  <c r="C21" i="5"/>
  <c r="C22" i="5"/>
  <c r="C23" i="5"/>
  <c r="C24" i="5"/>
  <c r="C25" i="5"/>
  <c r="C17" i="5"/>
  <c r="G15" i="5"/>
  <c r="G14" i="5"/>
  <c r="E16" i="5"/>
  <c r="E15" i="5"/>
  <c r="F13" i="5"/>
  <c r="F12" i="5"/>
  <c r="E12" i="5"/>
  <c r="E13" i="5" s="1"/>
  <c r="D8" i="5" l="1"/>
  <c r="D7" i="5"/>
  <c r="R54" i="3"/>
  <c r="R53" i="3" s="1"/>
  <c r="B11" i="5" l="1"/>
  <c r="F27" i="3"/>
  <c r="C34" i="5" s="1"/>
  <c r="G11" i="3" l="1"/>
  <c r="G3" i="3"/>
  <c r="E3" i="3"/>
  <c r="J3" i="3"/>
  <c r="I3" i="3"/>
  <c r="N4" i="3" s="1"/>
  <c r="H10" i="3"/>
  <c r="G28" i="3" l="1"/>
  <c r="G29" i="3"/>
  <c r="N3" i="3"/>
  <c r="N5" i="3" s="1"/>
  <c r="H8" i="3" s="1"/>
  <c r="A23" i="5" l="1"/>
  <c r="E26" i="5"/>
  <c r="E8" i="3" l="1"/>
  <c r="E7" i="3"/>
  <c r="B8" i="3"/>
  <c r="B7" i="3"/>
  <c r="H10" i="5" l="1"/>
  <c r="D10" i="5"/>
  <c r="F8" i="5"/>
  <c r="B8" i="5"/>
  <c r="H7" i="5"/>
  <c r="F7" i="5"/>
  <c r="B7" i="5"/>
  <c r="F6" i="5"/>
  <c r="D6" i="5"/>
  <c r="B6" i="5"/>
  <c r="F5" i="5"/>
  <c r="H5" i="5" s="1"/>
  <c r="H6" i="5" s="1"/>
  <c r="D5" i="5"/>
  <c r="A13" i="5" s="1"/>
  <c r="B5" i="5"/>
  <c r="H4" i="5"/>
  <c r="F4" i="5"/>
  <c r="D4" i="5"/>
  <c r="B4" i="5"/>
  <c r="H3" i="5"/>
  <c r="G3" i="5"/>
  <c r="E3" i="5"/>
  <c r="D3" i="5"/>
  <c r="H8" i="5" s="1"/>
  <c r="B3" i="5"/>
  <c r="A1" i="5" a="1"/>
  <c r="A1" i="5" s="1"/>
  <c r="G26" i="3"/>
  <c r="G28" i="5" l="1"/>
  <c r="D29" i="5"/>
  <c r="N2" i="3"/>
  <c r="J8" i="3" s="1"/>
  <c r="G14" i="3"/>
  <c r="D14" i="3"/>
  <c r="A14" i="3"/>
  <c r="E12" i="3"/>
  <c r="E11" i="3"/>
  <c r="E10" i="3"/>
  <c r="B12" i="3"/>
  <c r="B11" i="3"/>
  <c r="F10" i="5" s="1"/>
  <c r="B10" i="3"/>
  <c r="J4" i="3"/>
  <c r="R52" i="3" s="1"/>
  <c r="E14" i="5" s="1"/>
  <c r="J7" i="3"/>
  <c r="N7" i="3" l="1"/>
  <c r="E21" i="3" s="1"/>
  <c r="F21" i="3" s="1"/>
  <c r="B14" i="5"/>
  <c r="H7" i="3"/>
  <c r="H6" i="3"/>
  <c r="H5" i="3"/>
  <c r="H4" i="3"/>
  <c r="E6" i="3"/>
  <c r="E5" i="3"/>
  <c r="E4" i="3"/>
  <c r="H23" i="5" s="1"/>
  <c r="B5" i="3"/>
  <c r="B6" i="3"/>
  <c r="B4" i="3"/>
  <c r="B3" i="3"/>
  <c r="A1" i="3" a="1"/>
  <c r="A1" i="3" s="1"/>
  <c r="A1" i="1" a="1"/>
  <c r="A1" i="1" s="1"/>
  <c r="D25" i="1"/>
  <c r="A17" i="5" l="1"/>
  <c r="E19" i="3"/>
  <c r="E20" i="3"/>
  <c r="E22" i="3"/>
  <c r="C42" i="3"/>
  <c r="G16" i="5" s="1"/>
  <c r="A40" i="3"/>
  <c r="X2" i="3"/>
  <c r="B10" i="5" s="1"/>
  <c r="A19" i="3"/>
  <c r="B12" i="5"/>
  <c r="H14" i="3"/>
  <c r="H24" i="5" l="1"/>
  <c r="F22" i="3"/>
  <c r="B18" i="5"/>
  <c r="F20" i="3"/>
  <c r="A16" i="5" s="1"/>
  <c r="B16" i="5"/>
  <c r="F19" i="3"/>
  <c r="B15" i="5"/>
  <c r="B13" i="5"/>
  <c r="H25" i="5" l="1"/>
  <c r="A18" i="5"/>
  <c r="S34" i="3"/>
  <c r="S27" i="3"/>
  <c r="V26" i="3" a="1"/>
  <c r="V26" i="3" s="1"/>
  <c r="S33" i="3"/>
  <c r="S29" i="3"/>
  <c r="S32" i="3"/>
  <c r="S31" i="3"/>
  <c r="S30" i="3"/>
  <c r="S28" i="3"/>
  <c r="S26" i="3"/>
  <c r="R32" i="3"/>
  <c r="R33" i="3"/>
  <c r="R31" i="3"/>
  <c r="R28" i="3"/>
  <c r="R26" i="3"/>
  <c r="R27" i="3"/>
  <c r="R29" i="3"/>
  <c r="R30" i="3"/>
  <c r="R34" i="3"/>
  <c r="T27" i="3" l="1"/>
  <c r="I18" i="3" s="1"/>
  <c r="E18" i="5" s="1"/>
  <c r="T29" i="3"/>
  <c r="I20" i="3" s="1"/>
  <c r="E20" i="5" s="1"/>
  <c r="T34" i="3"/>
  <c r="I25" i="3" s="1"/>
  <c r="T32" i="3"/>
  <c r="I23" i="3" s="1"/>
  <c r="E23" i="5" s="1"/>
  <c r="T26" i="3"/>
  <c r="E17" i="5" s="1"/>
  <c r="T31" i="3"/>
  <c r="I22" i="3" s="1"/>
  <c r="E22" i="5" s="1"/>
  <c r="T30" i="3"/>
  <c r="I21" i="3" s="1"/>
  <c r="E21" i="5" s="1"/>
  <c r="T28" i="3"/>
  <c r="I19" i="3" s="1"/>
  <c r="E19" i="5" s="1"/>
  <c r="T33" i="3"/>
  <c r="I24" i="3" s="1"/>
  <c r="E24" i="5" s="1"/>
  <c r="J25" i="3" l="1"/>
  <c r="E25" i="5"/>
  <c r="J20" i="3"/>
  <c r="J18" i="3"/>
  <c r="J22" i="3"/>
  <c r="J24" i="3"/>
  <c r="J19" i="3"/>
  <c r="J21" i="3"/>
  <c r="J23" i="3"/>
  <c r="I26" i="3"/>
  <c r="J26" i="3" l="1"/>
  <c r="G3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<sst xmlns="http://schemas.openxmlformats.org/spreadsheetml/2006/main" count="842" uniqueCount="669">
  <si>
    <t>Door</t>
  </si>
  <si>
    <t>Track</t>
  </si>
  <si>
    <t>Sold By:</t>
  </si>
  <si>
    <t>Our Order ID:</t>
  </si>
  <si>
    <t>Date Promised:</t>
  </si>
  <si>
    <t>Door Size</t>
  </si>
  <si>
    <t>2" Door / 2" Track Fabrication</t>
  </si>
  <si>
    <t>2" Door / 3" Track Fabrication</t>
  </si>
  <si>
    <t>3" Door / 2" Track Fabrication</t>
  </si>
  <si>
    <t>3" Door / 3" Track Fabrication</t>
  </si>
  <si>
    <t>" Door / " Track Fabrication</t>
  </si>
  <si>
    <t>Installed</t>
  </si>
  <si>
    <t>Yes</t>
  </si>
  <si>
    <t>No</t>
  </si>
  <si>
    <t>Notes</t>
  </si>
  <si>
    <t>Customer:</t>
  </si>
  <si>
    <t>Project:</t>
  </si>
  <si>
    <t>Trck Size:</t>
  </si>
  <si>
    <t>Installed:</t>
  </si>
  <si>
    <t>Door Location:</t>
  </si>
  <si>
    <t>Size</t>
  </si>
  <si>
    <t>Height</t>
  </si>
  <si>
    <t>Side</t>
  </si>
  <si>
    <t>Feet</t>
  </si>
  <si>
    <t>Inches</t>
  </si>
  <si>
    <t>Length</t>
  </si>
  <si>
    <t>Job Information</t>
  </si>
  <si>
    <t>Des</t>
  </si>
  <si>
    <t>Door Specs</t>
  </si>
  <si>
    <t>Door Thickness:</t>
  </si>
  <si>
    <t>Jamb</t>
  </si>
  <si>
    <t>Jamb Bracket</t>
  </si>
  <si>
    <t>Angle IN</t>
  </si>
  <si>
    <t>Angle OUT</t>
  </si>
  <si>
    <t>Wood</t>
  </si>
  <si>
    <t>Steel Bolted</t>
  </si>
  <si>
    <t>Masonry</t>
  </si>
  <si>
    <t>Drywall</t>
  </si>
  <si>
    <t>Lift:</t>
  </si>
  <si>
    <t>12in std radius</t>
  </si>
  <si>
    <t>15in std radius</t>
  </si>
  <si>
    <t>LHR front</t>
  </si>
  <si>
    <t>LHR rear</t>
  </si>
  <si>
    <t>High Lift</t>
  </si>
  <si>
    <t>Full Vertical</t>
  </si>
  <si>
    <t>FRP- Roof pitch</t>
  </si>
  <si>
    <t>Floor to Obstruction:</t>
  </si>
  <si>
    <t>Bottom of Track:</t>
  </si>
  <si>
    <t>Springs:</t>
  </si>
  <si>
    <t>15M cycles</t>
  </si>
  <si>
    <t>25M cycles</t>
  </si>
  <si>
    <t>50M cycles</t>
  </si>
  <si>
    <t>100M cycles</t>
  </si>
  <si>
    <t>Windows</t>
  </si>
  <si>
    <t>Model:</t>
  </si>
  <si>
    <t>Color:</t>
  </si>
  <si>
    <t>Door Stop(Seal):</t>
  </si>
  <si>
    <t>Door Stop Color:</t>
  </si>
  <si>
    <t>Opener:</t>
  </si>
  <si>
    <t>Locking Device:</t>
  </si>
  <si>
    <t>Windload:</t>
  </si>
  <si>
    <t>Accessories</t>
  </si>
  <si>
    <t>AUTHORIZE TO FABRICATE?</t>
  </si>
  <si>
    <t>DATE AUTHORIZED</t>
  </si>
  <si>
    <t>TF138</t>
  </si>
  <si>
    <t>TR138</t>
  </si>
  <si>
    <t>AR138</t>
  </si>
  <si>
    <t>ARL138</t>
  </si>
  <si>
    <t>LP138</t>
  </si>
  <si>
    <t>TF II</t>
  </si>
  <si>
    <t>TR II</t>
  </si>
  <si>
    <t>AR II</t>
  </si>
  <si>
    <t>ARL II</t>
  </si>
  <si>
    <t>LP II</t>
  </si>
  <si>
    <t>AR25 non</t>
  </si>
  <si>
    <t>AR25 hits</t>
  </si>
  <si>
    <t>RP25 non</t>
  </si>
  <si>
    <t>RP25 hits</t>
  </si>
  <si>
    <t>LP25 non</t>
  </si>
  <si>
    <t>LP25 hits</t>
  </si>
  <si>
    <t>ARL25 non</t>
  </si>
  <si>
    <t>ARL25 hits</t>
  </si>
  <si>
    <t>RS25 non</t>
  </si>
  <si>
    <t>RS25 hits</t>
  </si>
  <si>
    <t>RS25 w/steel</t>
  </si>
  <si>
    <t>RS24 non-smooth</t>
  </si>
  <si>
    <t>RS24 hits-smooth</t>
  </si>
  <si>
    <t>RS24 w/stl-smooth</t>
  </si>
  <si>
    <t>TRX II</t>
  </si>
  <si>
    <t>ARX II</t>
  </si>
  <si>
    <t>ARLX II</t>
  </si>
  <si>
    <t>LPX II</t>
  </si>
  <si>
    <t>TAS III</t>
  </si>
  <si>
    <t>TR III</t>
  </si>
  <si>
    <t>AR III</t>
  </si>
  <si>
    <t>ARL III</t>
  </si>
  <si>
    <t>LP III</t>
  </si>
  <si>
    <t>SR138</t>
  </si>
  <si>
    <t>SR2</t>
  </si>
  <si>
    <t>Creative -3"</t>
  </si>
  <si>
    <t>CHI</t>
  </si>
  <si>
    <t>HAAS</t>
  </si>
  <si>
    <t>Custom</t>
  </si>
  <si>
    <t>White</t>
  </si>
  <si>
    <t>Almond</t>
  </si>
  <si>
    <t>Sandtone</t>
  </si>
  <si>
    <t>Brown</t>
  </si>
  <si>
    <t>Green</t>
  </si>
  <si>
    <t>Earthtone</t>
  </si>
  <si>
    <t>Beige</t>
  </si>
  <si>
    <t>Sepia</t>
  </si>
  <si>
    <t>Black</t>
  </si>
  <si>
    <t>P White</t>
  </si>
  <si>
    <t>Medium Oak</t>
  </si>
  <si>
    <t>Golden Oak</t>
  </si>
  <si>
    <t>Walnut</t>
  </si>
  <si>
    <t>Dark Brown</t>
  </si>
  <si>
    <t>Bronze</t>
  </si>
  <si>
    <t>Gray</t>
  </si>
  <si>
    <t>Woodgrain</t>
  </si>
  <si>
    <t>yes/no</t>
  </si>
  <si>
    <t>Lift</t>
  </si>
  <si>
    <t>Springs</t>
  </si>
  <si>
    <t>Model</t>
  </si>
  <si>
    <t>Door Color</t>
  </si>
  <si>
    <t>Door Stop Color</t>
  </si>
  <si>
    <t>None</t>
  </si>
  <si>
    <t>PVC</t>
  </si>
  <si>
    <t>Clip-on w/ top seal</t>
  </si>
  <si>
    <t>OTHER</t>
  </si>
  <si>
    <t>Door Stop</t>
  </si>
  <si>
    <t>Openers</t>
  </si>
  <si>
    <t>Locks</t>
  </si>
  <si>
    <t>Slide Lock</t>
  </si>
  <si>
    <t>Other (add notes)</t>
  </si>
  <si>
    <t>Lites by</t>
  </si>
  <si>
    <t>Section</t>
  </si>
  <si>
    <t>Panel</t>
  </si>
  <si>
    <t>Lites Size</t>
  </si>
  <si>
    <t>Lites Type</t>
  </si>
  <si>
    <t>Lites by:</t>
  </si>
  <si>
    <t>Section:</t>
  </si>
  <si>
    <t>Panel:</t>
  </si>
  <si>
    <t>Full Vision:</t>
  </si>
  <si>
    <t>Lites Size:</t>
  </si>
  <si>
    <t>Lites Type:</t>
  </si>
  <si>
    <t>none</t>
  </si>
  <si>
    <t>by AOD</t>
  </si>
  <si>
    <t>24" x 12"</t>
  </si>
  <si>
    <t>24" x 8"</t>
  </si>
  <si>
    <t>short panel</t>
  </si>
  <si>
    <t>long panel</t>
  </si>
  <si>
    <t>Alum full vision</t>
  </si>
  <si>
    <t>1/8" DSB</t>
  </si>
  <si>
    <t>1/2" insulated</t>
  </si>
  <si>
    <t>frosted ins</t>
  </si>
  <si>
    <t>rain ins</t>
  </si>
  <si>
    <t>smoke ins</t>
  </si>
  <si>
    <t>Comments</t>
  </si>
  <si>
    <t>YES/tear &amp; haul</t>
  </si>
  <si>
    <t>YES/new construction</t>
  </si>
  <si>
    <t>NO/customer pick up</t>
  </si>
  <si>
    <t>Rollers:</t>
  </si>
  <si>
    <t>Center Stile</t>
  </si>
  <si>
    <t>Rollers</t>
  </si>
  <si>
    <t>by MFG</t>
  </si>
  <si>
    <t>Fab Name</t>
  </si>
  <si>
    <t>Enginering Name</t>
  </si>
  <si>
    <t>Master</t>
  </si>
  <si>
    <t>Location:</t>
  </si>
  <si>
    <t>X</t>
  </si>
  <si>
    <t>Tracking</t>
  </si>
  <si>
    <t>Spring</t>
  </si>
  <si>
    <t>Windload</t>
  </si>
  <si>
    <t>Top of Track</t>
  </si>
  <si>
    <t>Floor to obstuction</t>
  </si>
  <si>
    <t>LC</t>
  </si>
  <si>
    <t>Chute</t>
  </si>
  <si>
    <t>Window Specs</t>
  </si>
  <si>
    <t>Lites</t>
  </si>
  <si>
    <t>Lite Size</t>
  </si>
  <si>
    <t>Lite Type</t>
  </si>
  <si>
    <t>Width Inches</t>
  </si>
  <si>
    <t>Door Notes</t>
  </si>
  <si>
    <t>Job Notes</t>
  </si>
  <si>
    <t>Authorized to Fabricate?</t>
  </si>
  <si>
    <t>Sections</t>
  </si>
  <si>
    <t>Panels</t>
  </si>
  <si>
    <t>Vertical Track</t>
  </si>
  <si>
    <t>Off Set Clips / Splice</t>
  </si>
  <si>
    <t>2"</t>
  </si>
  <si>
    <t>3"</t>
  </si>
  <si>
    <t>76"x.062 - 2" vertical track</t>
  </si>
  <si>
    <t>88"x.062 - 2" vertical track</t>
  </si>
  <si>
    <t>100"x.062 - 2" vertical track</t>
  </si>
  <si>
    <t>112"x.062 - 2" vertical track</t>
  </si>
  <si>
    <t>136"x.075 - 2" vertical track</t>
  </si>
  <si>
    <t>160"x.075 - 2" vertical track</t>
  </si>
  <si>
    <t>184"x.075 - 2" vertical track</t>
  </si>
  <si>
    <t>88"x.102 - 3" vertical track</t>
  </si>
  <si>
    <t>112"x.102 - 3" vertical track</t>
  </si>
  <si>
    <t>136"x.102 - 3" vertical track</t>
  </si>
  <si>
    <t>160"x.102 - 3" vertical track</t>
  </si>
  <si>
    <t>184"x.102 - 3" vertical track</t>
  </si>
  <si>
    <t>5,6,7</t>
  </si>
  <si>
    <t>5,6,7,</t>
  </si>
  <si>
    <t>5,6,7,8</t>
  </si>
  <si>
    <t>5,6,7,8,9</t>
  </si>
  <si>
    <t>5,6,7,8,9,10</t>
  </si>
  <si>
    <t>Clip Style</t>
  </si>
  <si>
    <t>105"x2" clip style angle</t>
  </si>
  <si>
    <t>129"x2" clip style angle</t>
  </si>
  <si>
    <t>153"x2" clip style angle</t>
  </si>
  <si>
    <t>177"x2" clip style angle</t>
  </si>
  <si>
    <t>201"x2" clip style angle</t>
  </si>
  <si>
    <t>Job Info</t>
  </si>
  <si>
    <t>Length 2" Door</t>
  </si>
  <si>
    <t>Length 3" Door</t>
  </si>
  <si>
    <t>9,10,11</t>
  </si>
  <si>
    <t>9,10,11,12</t>
  </si>
  <si>
    <t>9,10,11,12,14</t>
  </si>
  <si>
    <t>9,10,11,12,14,16</t>
  </si>
  <si>
    <t>1</t>
  </si>
  <si>
    <t>2</t>
  </si>
  <si>
    <t>3</t>
  </si>
  <si>
    <t>4</t>
  </si>
  <si>
    <t>5</t>
  </si>
  <si>
    <t>6</t>
  </si>
  <si>
    <t># 1 Hinges</t>
  </si>
  <si>
    <t># 2 Hinges</t>
  </si>
  <si>
    <t># 3 Hinges</t>
  </si>
  <si>
    <t># 4 Hinges</t>
  </si>
  <si>
    <t># 5 Hinges</t>
  </si>
  <si>
    <t># 6 Hinges</t>
  </si>
  <si>
    <t># 7 Hinges</t>
  </si>
  <si>
    <t># 8 Hinges</t>
  </si>
  <si>
    <t># 9 Hinges</t>
  </si>
  <si>
    <t>DES</t>
  </si>
  <si>
    <t>Even</t>
  </si>
  <si>
    <t>Total</t>
  </si>
  <si>
    <t>Column1</t>
  </si>
  <si>
    <t>#1 Hinges</t>
  </si>
  <si>
    <t>Hinges</t>
  </si>
  <si>
    <t>Type</t>
  </si>
  <si>
    <t>#1 hinge 14ga</t>
  </si>
  <si>
    <t>#2 hinge 14ga</t>
  </si>
  <si>
    <t>#3 hinge 14ga</t>
  </si>
  <si>
    <t>#4 hinge 14ga</t>
  </si>
  <si>
    <t>#5 hinge 14ga</t>
  </si>
  <si>
    <t>#6 hinge 13ga</t>
  </si>
  <si>
    <t>#7 hinge 11ga</t>
  </si>
  <si>
    <t>#8 hinge 11ga</t>
  </si>
  <si>
    <t>#9 hinge 11ga</t>
  </si>
  <si>
    <t>Bolts Needed</t>
  </si>
  <si>
    <t>Color</t>
  </si>
  <si>
    <t>Field Name</t>
  </si>
  <si>
    <t>Field</t>
  </si>
  <si>
    <t>Promised Date:</t>
  </si>
  <si>
    <t>Job Number:</t>
  </si>
  <si>
    <t>Full Vision</t>
  </si>
  <si>
    <t>Lites:</t>
  </si>
  <si>
    <t>Size/Style:</t>
  </si>
  <si>
    <t>Track Assembly</t>
  </si>
  <si>
    <t>Horizontal Track</t>
  </si>
  <si>
    <t>Horizontal Angle</t>
  </si>
  <si>
    <t>8'4"x.083 15R - 2" horizontal track</t>
  </si>
  <si>
    <t>9'6"x.083 15R - 2" horizontal track</t>
  </si>
  <si>
    <t>10'6"x.075 15R - 2" horizontal track</t>
  </si>
  <si>
    <t>11'6"x.083 15R - 2" horizontal track</t>
  </si>
  <si>
    <t>13'6"x.083 15R - 2" horizontal track</t>
  </si>
  <si>
    <t>15'6"x.083 15R - 2" horizontal track</t>
  </si>
  <si>
    <t>8'6"x.062 12R - 2" horizontal track</t>
  </si>
  <si>
    <t>9'6"x.062 12R - 2" horizontal track</t>
  </si>
  <si>
    <t>10'6"x.083 12R - 2" horizontal track</t>
  </si>
  <si>
    <t>11'6"x.083 12R - 2" horizontal track</t>
  </si>
  <si>
    <t>13'6"x.083 12R - 2" horizontal track</t>
  </si>
  <si>
    <t>15'6"x.083 12R - 2" horizontal track</t>
  </si>
  <si>
    <t>9'6"x.102 - 3" horizontal track 15"R</t>
  </si>
  <si>
    <t>11'6"x.102 - 3" horizontal track 15"R</t>
  </si>
  <si>
    <t>13'6"x.102 - 3" horizontal track 15"R</t>
  </si>
  <si>
    <t>15'6"x.102 - 3" horizontal track 15"R</t>
  </si>
  <si>
    <t>17'6"x.102 - 3" horizontal track 15"R</t>
  </si>
  <si>
    <t>Horizontal</t>
  </si>
  <si>
    <t>Vertical</t>
  </si>
  <si>
    <t>Height Inches</t>
  </si>
  <si>
    <t xml:space="preserve">Height Rounded up </t>
  </si>
  <si>
    <t>Height/24</t>
  </si>
  <si>
    <t>Track Clips 2 EA</t>
  </si>
  <si>
    <t>Glass Type:</t>
  </si>
  <si>
    <t>Low Head Room</t>
  </si>
  <si>
    <t xml:space="preserve">Low Head Room </t>
  </si>
  <si>
    <t>11'6" x 2" horizontal angle 12ga(138")</t>
  </si>
  <si>
    <t>13'6" x 2" horizontal angle 12ga(162")</t>
  </si>
  <si>
    <t>15'6" x 2" horizontal angle 12ga(186")</t>
  </si>
  <si>
    <t>23" LHR Starter Angle</t>
  </si>
  <si>
    <t>82" LHR Starter Angle</t>
  </si>
  <si>
    <t>Starter Plate</t>
  </si>
  <si>
    <t>Extention</t>
  </si>
  <si>
    <t>Junction Plate</t>
  </si>
  <si>
    <t>73" LHR Extention Angle</t>
  </si>
  <si>
    <t>Dub</t>
  </si>
  <si>
    <t>8'6"x.058 LHR DUB 6"R</t>
  </si>
  <si>
    <t>9'8"x.058 LHR DUB 6"R</t>
  </si>
  <si>
    <t>11'8"x.062 LHR DUB 6"R</t>
  </si>
  <si>
    <t>13'8"x.075 LHR DUB 6"R</t>
  </si>
  <si>
    <t>15'8"x.075 LHR DUB 6"R</t>
  </si>
  <si>
    <t>Extension</t>
  </si>
  <si>
    <t>DUB</t>
  </si>
  <si>
    <t>Junction Plate Each</t>
  </si>
  <si>
    <t>no 11 or 13</t>
  </si>
  <si>
    <t>no 9 in lhr</t>
  </si>
  <si>
    <t>Shaft</t>
  </si>
  <si>
    <t>8'9"x1" 16ga tube shaft</t>
  </si>
  <si>
    <t>9'9"x1" 16ga tube shaft</t>
  </si>
  <si>
    <t>16'9"x1" 16ga tube shaft</t>
  </si>
  <si>
    <t>solid shaft galvanized</t>
  </si>
  <si>
    <t>10'9"x1" 14ga tube shaft</t>
  </si>
  <si>
    <t>18'9"x1" 14ga tube shaft</t>
  </si>
  <si>
    <t>Shafts</t>
  </si>
  <si>
    <t>Wire Gauge</t>
  </si>
  <si>
    <t>Diameter</t>
  </si>
  <si>
    <t>Spring Gauge</t>
  </si>
  <si>
    <t>2 5/8"</t>
  </si>
  <si>
    <t>3 3/4"</t>
  </si>
  <si>
    <t>6"</t>
  </si>
  <si>
    <t>Spring 1</t>
  </si>
  <si>
    <t>Residential</t>
  </si>
  <si>
    <t>Comercial</t>
  </si>
  <si>
    <t>Spring 2</t>
  </si>
  <si>
    <t>Length In</t>
  </si>
  <si>
    <t>S207X2</t>
  </si>
  <si>
    <t>S207X2X40LW</t>
  </si>
  <si>
    <t>S207X2X40RW</t>
  </si>
  <si>
    <t>S218X2</t>
  </si>
  <si>
    <t>S218X2X40LW</t>
  </si>
  <si>
    <t>S218X2X40RW</t>
  </si>
  <si>
    <t>S225X2</t>
  </si>
  <si>
    <t>S225X2X40LW</t>
  </si>
  <si>
    <t>S225X2X40RW</t>
  </si>
  <si>
    <t>S234X2</t>
  </si>
  <si>
    <t>S234X2X40LW</t>
  </si>
  <si>
    <t>S234X2X40RW</t>
  </si>
  <si>
    <t>S243X2</t>
  </si>
  <si>
    <t>S243X2X45LW</t>
  </si>
  <si>
    <t>S243X2X45RW</t>
  </si>
  <si>
    <t>S250X2</t>
  </si>
  <si>
    <t>S250X2X50LW</t>
  </si>
  <si>
    <t>S250X2X50RW</t>
  </si>
  <si>
    <t>S262X2</t>
  </si>
  <si>
    <t>S262X2X56LW</t>
  </si>
  <si>
    <t>S262X2X56RW</t>
  </si>
  <si>
    <t>S273X2</t>
  </si>
  <si>
    <t>S273X2X50LW</t>
  </si>
  <si>
    <t>S273X2X50RW</t>
  </si>
  <si>
    <t>S283X2</t>
  </si>
  <si>
    <t>S283X2X56LW</t>
  </si>
  <si>
    <t>S283X2X56RW</t>
  </si>
  <si>
    <t>S295X2</t>
  </si>
  <si>
    <t>S295X2X56LW</t>
  </si>
  <si>
    <t>S295X2X56RW</t>
  </si>
  <si>
    <t>S243X258</t>
  </si>
  <si>
    <t>S243X258X40LW</t>
  </si>
  <si>
    <t>S243X258X40RW</t>
  </si>
  <si>
    <t>S250X258</t>
  </si>
  <si>
    <t>S250X258X45LW</t>
  </si>
  <si>
    <t>S250X258X45RW</t>
  </si>
  <si>
    <t>S262X258</t>
  </si>
  <si>
    <t>S262X258X50LW</t>
  </si>
  <si>
    <t>S262X258X50RW</t>
  </si>
  <si>
    <t>S273X258</t>
  </si>
  <si>
    <t>S273X258X50LW</t>
  </si>
  <si>
    <t>S273X258X50RW</t>
  </si>
  <si>
    <t>S283X258</t>
  </si>
  <si>
    <t>S283X258X56LW</t>
  </si>
  <si>
    <t>S283X258X56RW</t>
  </si>
  <si>
    <t>S295X258</t>
  </si>
  <si>
    <t>S295X258X50LW</t>
  </si>
  <si>
    <t>S295X258X50RW</t>
  </si>
  <si>
    <t>S306X258</t>
  </si>
  <si>
    <t>S306X258X50LW</t>
  </si>
  <si>
    <t>S306X258X50RW</t>
  </si>
  <si>
    <t>S312X258</t>
  </si>
  <si>
    <t>S312X258X56LW</t>
  </si>
  <si>
    <t>S312X258X56RW</t>
  </si>
  <si>
    <t>S319X258</t>
  </si>
  <si>
    <t>S319X258X56LW</t>
  </si>
  <si>
    <t>S319X258X56RW</t>
  </si>
  <si>
    <t>S331X258</t>
  </si>
  <si>
    <t>S331X258X56LW</t>
  </si>
  <si>
    <t>S331X258X56RW</t>
  </si>
  <si>
    <t>S283X334</t>
  </si>
  <si>
    <t>S283X334X45LW</t>
  </si>
  <si>
    <t>S283X334X45RW</t>
  </si>
  <si>
    <t>S295X334</t>
  </si>
  <si>
    <t>S295X334X45LW</t>
  </si>
  <si>
    <t>S295X334X45RW</t>
  </si>
  <si>
    <t>S306X334</t>
  </si>
  <si>
    <t>S306X334X45LW</t>
  </si>
  <si>
    <t>S306X334X45RW</t>
  </si>
  <si>
    <t>S312X334</t>
  </si>
  <si>
    <t>S312X334X50LW</t>
  </si>
  <si>
    <t>S312X334X50RW</t>
  </si>
  <si>
    <t>S319X334</t>
  </si>
  <si>
    <t>S319X334X50LW</t>
  </si>
  <si>
    <t>S319X334X50RW</t>
  </si>
  <si>
    <t>S331X334</t>
  </si>
  <si>
    <t>S331X334X50LW</t>
  </si>
  <si>
    <t>S331X334X50RW</t>
  </si>
  <si>
    <t>S343X334</t>
  </si>
  <si>
    <t>S343X334X60LW</t>
  </si>
  <si>
    <t>S343X334X60RW</t>
  </si>
  <si>
    <t>S362X334</t>
  </si>
  <si>
    <t>S362X334X56LW</t>
  </si>
  <si>
    <t>S362X334X56RW</t>
  </si>
  <si>
    <t>LW</t>
  </si>
  <si>
    <t>1 Pair</t>
  </si>
  <si>
    <t>2 Pair</t>
  </si>
  <si>
    <t>1 Pair Duplex</t>
  </si>
  <si>
    <t>2 Pair Duplex</t>
  </si>
  <si>
    <t>Special Order</t>
  </si>
  <si>
    <t>Turns</t>
  </si>
  <si>
    <t>Weight</t>
  </si>
  <si>
    <t>Hardwear</t>
  </si>
  <si>
    <t>Struts</t>
  </si>
  <si>
    <t xml:space="preserve">Cut To </t>
  </si>
  <si>
    <t>Aluminum Spring LW 250 x 2 x 34 1/2"</t>
  </si>
  <si>
    <t>Aluminum Spring RW 250 x 2 x 34 1/2"</t>
  </si>
  <si>
    <t>BLACK SPRING LW 273 X 2 X 41"</t>
  </si>
  <si>
    <t>BLACK SPRING RW 273 X 2 X 41"</t>
  </si>
  <si>
    <t>BLUE SPRING LW 234 X 2 X 27 1/2"</t>
  </si>
  <si>
    <t>BLUE SPRING RW 234 X 2 X 27 1/2"</t>
  </si>
  <si>
    <t>BROWN SPRING LW 243 X 2 X 29" </t>
  </si>
  <si>
    <t>BROWN SPRING RW 243 X 2 X 29" </t>
  </si>
  <si>
    <t>GOLD SPRING LW 243 X 2 X 34 1/2"</t>
  </si>
  <si>
    <t>GOLD SPRING RW 243 X 2 X 34 1/2"</t>
  </si>
  <si>
    <t>GREEN SPRING LW 262 X 2 X 34"</t>
  </si>
  <si>
    <t>GREEN SPRING RW 262 X 2 X 34"</t>
  </si>
  <si>
    <t>LITE BLUE SPRING LW 283 X 2 X 44"</t>
  </si>
  <si>
    <t>LITE BLUE SPRING RW 283 X 2 X 44"</t>
  </si>
  <si>
    <t>ORANGE SPRINGLW 218 X 2 X 23 1/4"</t>
  </si>
  <si>
    <t>ORANGE SPRINGRW 218 X 2 X 23 1/4"</t>
  </si>
  <si>
    <t>PINK SPRING LW 234 X 2 X 30"</t>
  </si>
  <si>
    <t>PINK SPRING RW 234 X 2 X 30"</t>
  </si>
  <si>
    <t>PURPLE SPRING LW 225 X 2 X 28</t>
  </si>
  <si>
    <t>PURPLE SPRINGRW 225 X 2 X 28</t>
  </si>
  <si>
    <t>RED SPRINGLW 262 X 2 X 38"</t>
  </si>
  <si>
    <t>RED SPRING RW 262 X 2 X 38"</t>
  </si>
  <si>
    <t>WHITE SPRING LW 207 X 2 X 21 1/2"</t>
  </si>
  <si>
    <t>WHITE SPRING RW 207 X 2 X 21 1/2"</t>
  </si>
  <si>
    <t>2220L Basic Series</t>
  </si>
  <si>
    <t>6580L Plus Series</t>
  </si>
  <si>
    <t>6690L Premium Series</t>
  </si>
  <si>
    <t>4690L Premium Heavy Duty Series</t>
  </si>
  <si>
    <t>98022 resi jackshaft</t>
  </si>
  <si>
    <t>98032 resi jackshaft</t>
  </si>
  <si>
    <t>RJDC7</t>
  </si>
  <si>
    <t>JHDC12</t>
  </si>
  <si>
    <t>TDC7</t>
  </si>
  <si>
    <t>TDC12</t>
  </si>
  <si>
    <t>Other (please note)</t>
  </si>
  <si>
    <t>Drum</t>
  </si>
  <si>
    <t>End Bearing Plates</t>
  </si>
  <si>
    <t xml:space="preserve">Flag </t>
  </si>
  <si>
    <t>Splice</t>
  </si>
  <si>
    <t>Drums</t>
  </si>
  <si>
    <t>4x8 SR drum</t>
  </si>
  <si>
    <t>400-12 SR drum</t>
  </si>
  <si>
    <t>5-18 SR drum(5250-18)</t>
  </si>
  <si>
    <t>143-11 VL drum(850-11)</t>
  </si>
  <si>
    <t>1100-18 VL drum</t>
  </si>
  <si>
    <t>54-LC HL drum(400-54)</t>
  </si>
  <si>
    <t>54-HL HL drum(5250-54)</t>
  </si>
  <si>
    <t>120 HL drum(5750-120)</t>
  </si>
  <si>
    <t>6375-164 HL drum</t>
  </si>
  <si>
    <t>End Plate</t>
  </si>
  <si>
    <t>EBF 3 3/8" residential 12ga. w/brg</t>
  </si>
  <si>
    <t xml:space="preserve">#7-3 3/8" wood EBF 11ga w/brg </t>
  </si>
  <si>
    <t xml:space="preserve">#7-3 3/8" steel EBF 11ga w/brg </t>
  </si>
  <si>
    <t xml:space="preserve">#8-4 3/8" wood EBF 11ga w/brg </t>
  </si>
  <si>
    <t>#8 Tall EBF 8ga w/brg 4 3/8" wood</t>
  </si>
  <si>
    <t xml:space="preserve">#8-4 3/8" steel EBF 8ga w/brg </t>
  </si>
  <si>
    <t>#8 Tall EBF 8ga w/brg 4 3/8" steel</t>
  </si>
  <si>
    <t xml:space="preserve">#9-5" steel EBF 8ga w/brg </t>
  </si>
  <si>
    <t xml:space="preserve">#10-6" steel EBF 8ga w/brg </t>
  </si>
  <si>
    <t>HD VL5 jamb brkt 10ga 16" w/brg</t>
  </si>
  <si>
    <t>Flag</t>
  </si>
  <si>
    <t>Resi slotted flag angle PAIR</t>
  </si>
  <si>
    <t>19" vertical angle 13ga      x2</t>
  </si>
  <si>
    <t>#6 splice plate high lift</t>
  </si>
  <si>
    <t>#8 splice plate high lift</t>
  </si>
  <si>
    <t>#10 splice plate high lift</t>
  </si>
  <si>
    <t>#12 splice plate high lift</t>
  </si>
  <si>
    <t>HD Splice jamb bracket 10ga 6"</t>
  </si>
  <si>
    <t>#10 adjustable offset splice plate</t>
  </si>
  <si>
    <t>#12 adjustable offset splice plate</t>
  </si>
  <si>
    <t>#14 adjustable offset splice plate</t>
  </si>
  <si>
    <t>#16 adjustable offset splice plate</t>
  </si>
  <si>
    <t>#18 adjustable offset splice plate</t>
  </si>
  <si>
    <t>#20 adjustable offset splice plate</t>
  </si>
  <si>
    <t>#22 adjustable offset splice plate</t>
  </si>
  <si>
    <t>Code</t>
  </si>
  <si>
    <t>HWLP006</t>
  </si>
  <si>
    <t>HWLP008</t>
  </si>
  <si>
    <t>HWLP010</t>
  </si>
  <si>
    <t>HWLP012</t>
  </si>
  <si>
    <t>HWHDSJB6</t>
  </si>
  <si>
    <t>HWOP010</t>
  </si>
  <si>
    <t>HWOP012</t>
  </si>
  <si>
    <t>HWOP014</t>
  </si>
  <si>
    <t>HWOP016</t>
  </si>
  <si>
    <t>HWOP018</t>
  </si>
  <si>
    <t>HWOP020</t>
  </si>
  <si>
    <t>HWOP022</t>
  </si>
  <si>
    <t>HWFB001</t>
  </si>
  <si>
    <t>HWVA001</t>
  </si>
  <si>
    <t>HWEBP01</t>
  </si>
  <si>
    <t>HWEBP07</t>
  </si>
  <si>
    <t>HWEBP08</t>
  </si>
  <si>
    <t>HWEBP08T</t>
  </si>
  <si>
    <t>HWEBP09</t>
  </si>
  <si>
    <t>HWEBP10</t>
  </si>
  <si>
    <t>HWHDVL5BRG</t>
  </si>
  <si>
    <t>HDRU408</t>
  </si>
  <si>
    <t>HDRU412</t>
  </si>
  <si>
    <t>HDRU518</t>
  </si>
  <si>
    <t>HDRU143</t>
  </si>
  <si>
    <t>HDRU23618</t>
  </si>
  <si>
    <t>HDR454</t>
  </si>
  <si>
    <t>HDRU554</t>
  </si>
  <si>
    <t>HDRU512</t>
  </si>
  <si>
    <t>1/8"</t>
  </si>
  <si>
    <t>5/32"</t>
  </si>
  <si>
    <t>3/16"</t>
  </si>
  <si>
    <t>Cables, Bearings and Fixtures</t>
  </si>
  <si>
    <t>Long Rollers</t>
  </si>
  <si>
    <t>Short Rollers</t>
  </si>
  <si>
    <t>Bottom Fixtures</t>
  </si>
  <si>
    <t>Top Fixtures</t>
  </si>
  <si>
    <t>BB-100</t>
  </si>
  <si>
    <t>BB-90</t>
  </si>
  <si>
    <t>BB-4 1 5/8" SF</t>
  </si>
  <si>
    <t>BB-6 1 5/8" SF</t>
  </si>
  <si>
    <t>BB-5 LHR</t>
  </si>
  <si>
    <t>BB-5 LHR reinforced</t>
  </si>
  <si>
    <t>BB-90 LHR</t>
  </si>
  <si>
    <t>Bottom Fixture</t>
  </si>
  <si>
    <t>HWBF001</t>
  </si>
  <si>
    <t>HWBFL90</t>
  </si>
  <si>
    <t>HWBF004</t>
  </si>
  <si>
    <t>HWBF006</t>
  </si>
  <si>
    <t>HWBFL01</t>
  </si>
  <si>
    <t>HWBFLR01</t>
  </si>
  <si>
    <t>Code2</t>
  </si>
  <si>
    <t>commercial adjustable top bracket</t>
  </si>
  <si>
    <t>residential adjustable top bracket</t>
  </si>
  <si>
    <t>2" low headroom top bracket</t>
  </si>
  <si>
    <t>low headroom quick closer 13ga no rollers</t>
  </si>
  <si>
    <t>Top Fixture</t>
  </si>
  <si>
    <t>HWTF002</t>
  </si>
  <si>
    <t>HWTF001</t>
  </si>
  <si>
    <t>HWTFL01</t>
  </si>
  <si>
    <t>HWTF201</t>
  </si>
  <si>
    <t>Code 3</t>
  </si>
  <si>
    <t>Bottom Ammount</t>
  </si>
  <si>
    <t>Top Ammount</t>
  </si>
  <si>
    <t>Pair</t>
  </si>
  <si>
    <t>Column</t>
  </si>
  <si>
    <t>CAB</t>
  </si>
  <si>
    <t>Spacers</t>
  </si>
  <si>
    <t>Ammount</t>
  </si>
  <si>
    <t>LHR Spacer</t>
  </si>
  <si>
    <t>CAB Brgs</t>
  </si>
  <si>
    <t>QTY</t>
  </si>
  <si>
    <t>SAN 3 3/8" resi 12ga no brg notched</t>
  </si>
  <si>
    <t>SAN 3 3/8" comm 11ga no brg notched</t>
  </si>
  <si>
    <t>SAN 4 3/8" comm 8ga no brg notched</t>
  </si>
  <si>
    <t>USA #1 8ga(6" ADJ)</t>
  </si>
  <si>
    <t>Code 4</t>
  </si>
  <si>
    <t>HWCBP01</t>
  </si>
  <si>
    <t>HWCBP02</t>
  </si>
  <si>
    <t>HWCBP03</t>
  </si>
  <si>
    <t>HWCBPUS</t>
  </si>
  <si>
    <t>22" x 1.5" horizontal angle 14ga short</t>
  </si>
  <si>
    <t>82" x 1.5" horizontal angle 14ga short</t>
  </si>
  <si>
    <t>137" x 1.5" horizontal angle 13ga long</t>
  </si>
  <si>
    <t>Additional</t>
  </si>
  <si>
    <t>FtO</t>
  </si>
  <si>
    <t>strut 2-1/4" x 6'11" 22ga galvaneal</t>
  </si>
  <si>
    <t>strut 2-1/4" x 7'11" 22ga galvaneal</t>
  </si>
  <si>
    <t>strut 2-1/4" x 8'11" 22ga galvaneal</t>
  </si>
  <si>
    <t>strut 2-1/4" x 9'11" 22ga galvaneal</t>
  </si>
  <si>
    <t>strut 2-1/4" x 11'11" 22ga galvaneal</t>
  </si>
  <si>
    <t>strut 2-1/4" x 13'11" 22ga galvaneal</t>
  </si>
  <si>
    <t>strut 2-1/4" x 15'11" 22ga galvaneal</t>
  </si>
  <si>
    <t>strut 3" x 11'11" 20ga galvanized</t>
  </si>
  <si>
    <t>strut 3" x 15'11" 20ga galvanized</t>
  </si>
  <si>
    <t>strut 3" x 17'11" 20ga galvanized</t>
  </si>
  <si>
    <t>strut 3" x 19'11" 20ga galvanized</t>
  </si>
  <si>
    <t>strut 3" x 23'11" 20ga galvanized</t>
  </si>
  <si>
    <t>Strut</t>
  </si>
  <si>
    <t>HSTR082</t>
  </si>
  <si>
    <t>HSTR092</t>
  </si>
  <si>
    <t>HSTR102</t>
  </si>
  <si>
    <t>HSTR122</t>
  </si>
  <si>
    <t>HSTR142</t>
  </si>
  <si>
    <t>HSTR162</t>
  </si>
  <si>
    <t>HSTR123</t>
  </si>
  <si>
    <t>HSTR163</t>
  </si>
  <si>
    <t>HSTR183</t>
  </si>
  <si>
    <t>HSTR203</t>
  </si>
  <si>
    <t>HSTR243</t>
  </si>
  <si>
    <t>Strut 1</t>
  </si>
  <si>
    <t>Strut 2</t>
  </si>
  <si>
    <t>Cut To</t>
  </si>
  <si>
    <t>Parts</t>
  </si>
  <si>
    <t>Pull Rope</t>
  </si>
  <si>
    <t>#2 Steel Bag</t>
  </si>
  <si>
    <t>#1 Steel Bag</t>
  </si>
  <si>
    <t>#1 Bolt Bag</t>
  </si>
  <si>
    <t>#4 Comm Pkg</t>
  </si>
  <si>
    <t>Dry Wall Screws</t>
  </si>
  <si>
    <t>2nd Cab</t>
  </si>
  <si>
    <t>5 hole Step Plate</t>
  </si>
  <si>
    <t>closed grip lift handle</t>
  </si>
  <si>
    <t>unilock commercial</t>
  </si>
  <si>
    <t>Spring Bummbers</t>
  </si>
  <si>
    <t>Door Sticker</t>
  </si>
  <si>
    <t>Coupler</t>
  </si>
  <si>
    <t>leaf bumper spring w/ bracket</t>
  </si>
  <si>
    <t>coupling</t>
  </si>
  <si>
    <t>Key</t>
  </si>
  <si>
    <t>1/4" x 3" keyway bent</t>
  </si>
  <si>
    <t>Bolt Bag Required</t>
  </si>
  <si>
    <t>2'' HD SHORT NYLON ROLLER</t>
  </si>
  <si>
    <t>2'' HD NYLON LONG STEM ROLLER</t>
  </si>
  <si>
    <t>3'' NYLON LONG STEM ROLLER</t>
  </si>
  <si>
    <t>2'' 10 BALL SHORT STEM STEEL ROLLER</t>
  </si>
  <si>
    <t>2'' 10 BALL LONG STEM STEEL ROLLER</t>
  </si>
  <si>
    <t>3'' HEAVY DUTY LONG STEM STEEL ROLLER </t>
  </si>
  <si>
    <t>Hardwear Box</t>
  </si>
  <si>
    <t>CAB, spring anchor plate</t>
  </si>
  <si>
    <t>1" Bearing</t>
  </si>
  <si>
    <t>1" nylon bearing for LHR spacer</t>
  </si>
  <si>
    <t>Cable Inches</t>
  </si>
  <si>
    <t>Cable Dia</t>
  </si>
  <si>
    <t>Rope Feet</t>
  </si>
  <si>
    <t>Step Plate</t>
  </si>
  <si>
    <t>Handle</t>
  </si>
  <si>
    <t>Lock</t>
  </si>
  <si>
    <t>1 pair</t>
  </si>
  <si>
    <t>HL splice</t>
  </si>
  <si>
    <t>Fastners</t>
  </si>
  <si>
    <t>Section Weight</t>
  </si>
  <si>
    <t>Hardwear Weight</t>
  </si>
  <si>
    <t>Strut Weight</t>
  </si>
  <si>
    <t>1" 3/8  Door / 2" Track Fabrication</t>
  </si>
  <si>
    <t>1" 3/8  Door / 3" Track Fabrication</t>
  </si>
  <si>
    <t>1 3/8 x 2 Master</t>
  </si>
  <si>
    <t>1 3/8 x 3 Master</t>
  </si>
  <si>
    <t>2 x 2 Master</t>
  </si>
  <si>
    <t>2 x 3 Master</t>
  </si>
  <si>
    <t>3 x 2 Master</t>
  </si>
  <si>
    <t>3 x 3 Master</t>
  </si>
  <si>
    <t>2 x 2 Field</t>
  </si>
  <si>
    <t>2 x 3 Field</t>
  </si>
  <si>
    <t>3 x 2 Field</t>
  </si>
  <si>
    <t>3 x 3 Field</t>
  </si>
  <si>
    <t>1 3/8 x 2 Field</t>
  </si>
  <si>
    <t>1 3/8 x 3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</si>
</sst>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4.9989318521683403E-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 style="medium">
        <color indexed="64"/>
      </top>
      <bottom/>
      <diagonal/>
    </border>
    <border>
      <left/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/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1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/>
    </xf>
    <xf numFmtId="49" fontId="3" fillId="0" borderId="18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 vertical="center"/>
    </xf>
    <xf numFmtId="49" fontId="3" fillId="0" borderId="19" xfId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3" borderId="0" xfId="0" applyFont="1" applyFill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2" fillId="0" borderId="9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14" fontId="6" fillId="0" borderId="4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5" borderId="5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2" fillId="5" borderId="0" xfId="0" applyFont="1" applyFill="1" applyAlignment="1">
      <alignment horizontal="center"/>
    </xf>
    <xf numFmtId="0" fontId="0" fillId="8" borderId="0" xfId="0" applyFill="1" applyAlignment="1">
      <alignment horizontal="center"/>
    </xf>
    <xf numFmtId="0" fontId="4" fillId="7" borderId="2" xfId="0" applyFon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2" fillId="8" borderId="0" xfId="0" applyFont="1" applyFill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0" xfId="0" applyFont="1"/>
    <xf numFmtId="0" fontId="2" fillId="10" borderId="5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12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2" fillId="7" borderId="1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4" fillId="7" borderId="2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164" fontId="2" fillId="0" borderId="16" xfId="0" applyNumberFormat="1" applyFont="1" applyBorder="1" applyAlignment="1">
      <alignment horizontal="center"/>
    </xf>
    <xf numFmtId="164" fontId="2" fillId="0" borderId="15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 wrapText="1"/>
    </xf>
    <xf numFmtId="14" fontId="2" fillId="0" borderId="4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8" xfId="0" applyNumberFormat="1" applyFont="1" applyBorder="1" applyAlignment="1">
      <alignment horizontal="center" vertical="top" wrapText="1"/>
    </xf>
    <xf numFmtId="164" fontId="2" fillId="0" borderId="6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6" borderId="0" xfId="0" applyFont="1" applyFill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3">
    <cellStyle name="Normal" xfId="0" builtinId="0"/>
    <cellStyle name="Normal 3" xfId="2" xr:uid="{2AA459AF-EC04-417F-89F3-4882F9D2352D}"/>
    <cellStyle name="Normal_HARDWARE" xfId="1" xr:uid="{B4ECCA52-9BD0-4D5C-9967-FF55AC79711A}"/>
  </cellStyles>
  <dxfs count="99">
    <dxf>
      <font>
        <color theme="1"/>
      </font>
      <fill>
        <patternFill>
          <bgColor theme="1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rgb="FFFFFF00"/>
        </patternFill>
      </fill>
    </dxf>
    <dxf>
      <fill>
        <patternFill>
          <bgColor theme="1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rial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9"/>
        <name val="Arial"/>
        <family val="2"/>
        <scheme val="none"/>
      </font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7A1246-5902-4CF0-9B3A-5B46F6455D80}" name="Table2" displayName="Table2" ref="A1:E8" totalsRowShown="0" headerRowDxfId="98" dataDxfId="97">
  <autoFilter ref="A1:E8" xr:uid="{4E7A1246-5902-4CF0-9B3A-5B46F6455D80}"/>
  <tableColumns count="5">
    <tableColumn id="1" xr3:uid="{7B160E6F-E1D6-4D73-A33C-A90A542349C5}" name="Door" dataDxfId="96"/>
    <tableColumn id="2" xr3:uid="{DCAF8335-B764-46BD-AF92-7F3A85894548}" name="Track" dataDxfId="95"/>
    <tableColumn id="3" xr3:uid="{F17E9C23-571A-499C-B00E-C924CDA02EEC}" name="Fab Name" dataDxfId="94"/>
    <tableColumn id="5" xr3:uid="{A5BB9D74-5CB2-4D76-9E5E-43F533EEBF4E}" name="Enginering Name" dataDxfId="93"/>
    <tableColumn id="4" xr3:uid="{9248C2D8-A973-4C2A-8748-0EDB56FA2C8F}" name="Field Name" dataDxfId="9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AAD970-0D3C-43C0-9FE5-3F9D061DD360}" name="Table3" displayName="Table3" ref="Q1:V14" totalsRowShown="0" headerRowDxfId="91" dataDxfId="90">
  <autoFilter ref="Q1:V14" xr:uid="{2CAAD970-0D3C-43C0-9FE5-3F9D061DD360}"/>
  <tableColumns count="6">
    <tableColumn id="1" xr3:uid="{C1563A4C-00B8-49A2-BBBF-E70E5F5AC3E5}" name="Height" dataDxfId="89"/>
    <tableColumn id="2" xr3:uid="{0E611D3F-BD59-423A-B78D-0C1861B720D4}" name="2&quot;" dataDxfId="88"/>
    <tableColumn id="3" xr3:uid="{03334F10-17E1-4DC4-97B9-29A180F9CBBA}" name="3&quot;" dataDxfId="87"/>
    <tableColumn id="4" xr3:uid="{A809B745-3221-472E-9811-B98F54DEE790}" name="Length 2&quot; Door" dataDxfId="86"/>
    <tableColumn id="6" xr3:uid="{30A86828-0E94-4589-BE8B-03F498AD2225}" name="Length 3&quot; Door" dataDxfId="85"/>
    <tableColumn id="5" xr3:uid="{4D54D831-EE58-454F-A048-4E58B7E14912}" name="Clip Style" dataDxfId="8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A1FDE2-63A4-4055-B213-2C59A6B9C4BC}" name="Table1" displayName="Table1" ref="Q25:T34" totalsRowShown="0" headerRowDxfId="83" dataDxfId="82">
  <autoFilter ref="Q25:T34" xr:uid="{0EA1FDE2-63A4-4055-B213-2C59A6B9C4BC}"/>
  <tableColumns count="4">
    <tableColumn id="1" xr3:uid="{472C1282-61D6-434C-91DD-4C84A34F80FB}" name="Column1" dataDxfId="81"/>
    <tableColumn id="2" xr3:uid="{4D54F55A-0F94-4CD4-B029-7D30B5900AC5}" name="DES" dataDxfId="80">
      <calculatedColumnFormula>IF(AND($E$4="Yes",$H$8&gt;=2),2,0)</calculatedColumnFormula>
    </tableColumn>
    <tableColumn id="3" xr3:uid="{E0E904FE-C0D9-4DC9-8EF0-426D6DA5AFA1}" name="Even" dataDxfId="79"/>
    <tableColumn id="4" xr3:uid="{46672612-87A3-4644-A7A6-468169638F27}" name="Total" dataDxfId="7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5F2795-3439-41DF-8F60-CAA6E7D78685}" name="Table4" displayName="Table4" ref="Q16:W23" totalsRowShown="0" headerRowDxfId="77" dataDxfId="76" tableBorderDxfId="75">
  <autoFilter ref="Q16:W23" xr:uid="{EC5F2795-3439-41DF-8F60-CAA6E7D78685}"/>
  <tableColumns count="7">
    <tableColumn id="1" xr3:uid="{8F2ABF60-169D-45CB-9CDA-FA0F96303A89}" name="Sections" dataDxfId="74"/>
    <tableColumn id="2" xr3:uid="{53166BD8-DD7E-451B-A3F4-32C4B76B0114}" name="1" dataDxfId="73"/>
    <tableColumn id="3" xr3:uid="{A566DAC0-BAB1-494D-917D-6CCDA01CB1D1}" name="2" dataDxfId="72"/>
    <tableColumn id="4" xr3:uid="{29ED7FD1-61D6-4678-8798-4140A7AF1E4E}" name="3" dataDxfId="71"/>
    <tableColumn id="5" xr3:uid="{16F5E2FE-F0A4-46DE-8F8A-BF26FA8A9BB8}" name="4" dataDxfId="70"/>
    <tableColumn id="6" xr3:uid="{CD6E2D53-EAA2-4D4B-9B82-DFD4FBB39820}" name="5" dataDxfId="69"/>
    <tableColumn id="7" xr3:uid="{D57A571F-2890-4DDC-ABAB-B836C6199D5E}" name="6" dataDxfId="6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5CACBC-47C9-4D8F-A077-A52D4037FE2F}" name="Table5" displayName="Table5" ref="Z1:AB21" totalsRowShown="0" headerRowDxfId="67" dataDxfId="66">
  <autoFilter ref="Z1:AB21" xr:uid="{545CACBC-47C9-4D8F-A077-A52D4037FE2F}"/>
  <tableColumns count="3">
    <tableColumn id="1" xr3:uid="{14AE75B1-0D2C-4B60-93BC-953E7F436F9B}" name="Height" dataDxfId="65"/>
    <tableColumn id="2" xr3:uid="{27CFEA10-0C0E-441F-B4B4-FEE585D9366E}" name="2&quot;" dataDxfId="64"/>
    <tableColumn id="3" xr3:uid="{31333770-5C73-45EE-8B38-D5FD9BC045AF}" name="3&quot;" dataDxfId="6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EE933C7-2D90-4A0E-90BE-6FC834D08085}" name="Table6" displayName="Table6" ref="AF1:AJ6" totalsRowShown="0" headerRowDxfId="62" dataDxfId="61">
  <autoFilter ref="AF1:AJ6" xr:uid="{7EE933C7-2D90-4A0E-90BE-6FC834D08085}"/>
  <tableColumns count="5">
    <tableColumn id="1" xr3:uid="{54871AA6-6D3D-4A4E-B239-9540282ED64A}" name="Height" dataDxfId="60"/>
    <tableColumn id="2" xr3:uid="{5D8134F3-6EC4-4CC2-A020-95232BD8EAB6}" name="Starter Plate" dataDxfId="59"/>
    <tableColumn id="3" xr3:uid="{3297F847-5797-440E-B94E-EA2B16967CA9}" name="Extention" dataDxfId="58"/>
    <tableColumn id="4" xr3:uid="{06EBCC82-7CB9-421A-9CA4-C63588F8225D}" name="Junction Plate Each" dataDxfId="57"/>
    <tableColumn id="5" xr3:uid="{A6BD8D2C-87DD-45A0-820B-3EDDA376EED5}" name="Dub" dataDxfId="5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66A50DF-63FE-42A9-8C18-EB744D016F9D}" name="Table7" displayName="Table7" ref="AD8:AD14" totalsRowShown="0" headerRowDxfId="55" dataDxfId="54">
  <autoFilter ref="AD8:AD14" xr:uid="{266A50DF-63FE-42A9-8C18-EB744D016F9D}"/>
  <tableColumns count="1">
    <tableColumn id="1" xr3:uid="{3D25DA58-4B6F-4A82-A9E1-54C120294B3B}" name="Shafts" dataDxfId="5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A15344C-2C8C-4F35-8835-7B6B31727FC4}" name="Table8" displayName="Table8" ref="AF9:AJ93" totalsRowShown="0" headerRowDxfId="52" dataDxfId="51">
  <autoFilter ref="AF9:AJ93" xr:uid="{AA15344C-2C8C-4F35-8835-7B6B31727FC4}"/>
  <tableColumns count="5">
    <tableColumn id="1" xr3:uid="{5D90DF35-0B61-4842-831F-0377EC06A51A}" name="Spring Gauge" dataDxfId="50"/>
    <tableColumn id="2" xr3:uid="{0A5BCA15-8229-4F59-BF62-F6AEEF4EAC9B}" name="Diameter" dataDxfId="49"/>
    <tableColumn id="3" xr3:uid="{809597BD-62F8-4369-9CFD-7A41C8FBAC0E}" name="Comercial" dataDxfId="48"/>
    <tableColumn id="4" xr3:uid="{F93CBC0A-7388-4166-9A02-61A19A504A72}" name="Residential" dataDxfId="47"/>
    <tableColumn id="5" xr3:uid="{4E3A3C7A-D199-4EF7-B5E4-4391534081F8}" name="Type" dataDxfId="4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5AC0184-F297-40AC-8AC4-9BF4D10F22CB}" name="Table9" displayName="Table9" ref="Q37:R46" totalsRowShown="0" headerRowDxfId="45" dataDxfId="44">
  <autoFilter ref="Q37:R46" xr:uid="{55AC0184-F297-40AC-8AC4-9BF4D10F22CB}"/>
  <tableColumns count="2">
    <tableColumn id="1" xr3:uid="{5C256E58-79CF-426F-81F4-BC6BC4E5C095}" name="Drums" dataDxfId="43"/>
    <tableColumn id="2" xr3:uid="{BC751C98-15EB-421B-B933-AA4CEA0B2C95}" name="Code" dataDxfId="4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BCF5FD5-CAE0-4DB9-8327-1553265456AB}" name="Table10" displayName="Table10" ref="S37:T47" totalsRowShown="0" headerRowDxfId="41" dataDxfId="40">
  <autoFilter ref="S37:T47" xr:uid="{6BCF5FD5-CAE0-4DB9-8327-1553265456AB}"/>
  <tableColumns count="2">
    <tableColumn id="1" xr3:uid="{6D46AB95-89EB-46B4-94B1-19A37FD8BBAB}" name="End Plate" dataDxfId="39"/>
    <tableColumn id="2" xr3:uid="{F82A9D66-98CF-4CE0-BFD3-8652D0BBD5AF}" name="Code" dataDxfId="38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EC83D53-D54C-423E-8F15-55C16F5936F5}" name="Table12" displayName="Table12" ref="U37:V39" totalsRowShown="0" headerRowDxfId="37" dataDxfId="36">
  <autoFilter ref="U37:V39" xr:uid="{BEC83D53-D54C-423E-8F15-55C16F5936F5}"/>
  <tableColumns count="2">
    <tableColumn id="1" xr3:uid="{56F9BED6-6ECA-40AE-B74A-3F1AB1CA4B7F}" name="Flag" dataDxfId="35"/>
    <tableColumn id="2" xr3:uid="{77978461-2B2B-4B50-B2DC-39A44CEAA9B2}" name="Code" dataDxfId="3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87A14C2-3AC2-498E-92AF-902B7837D667}" name="Table13" displayName="Table13" ref="W37:AD49" totalsRowShown="0" headerRowDxfId="33" dataDxfId="32">
  <autoFilter ref="W37:AD49" xr:uid="{787A14C2-3AC2-498E-92AF-902B7837D667}"/>
  <tableColumns count="8">
    <tableColumn id="1" xr3:uid="{BDB2B542-22AD-4A3B-B138-A7633D193C0A}" name="Splice" dataDxfId="31"/>
    <tableColumn id="2" xr3:uid="{54B4D41D-ADF6-46EB-A029-F8575A70C3C1}" name="Code" dataDxfId="30"/>
    <tableColumn id="3" xr3:uid="{4AE62FB3-5DB2-40C6-9482-38B03BE4D449}" name="Bottom Fixture" dataDxfId="29"/>
    <tableColumn id="4" xr3:uid="{0DD0C48C-2E44-4237-A6CC-2255A44F8943}" name="Code2" dataDxfId="28"/>
    <tableColumn id="5" xr3:uid="{4653C90F-6412-4147-9124-7579E90DC5BF}" name="Top Fixture" dataDxfId="27"/>
    <tableColumn id="6" xr3:uid="{44909C1A-EDA4-4C90-A408-D2C5554FECEA}" name="Code 3" dataDxfId="26"/>
    <tableColumn id="7" xr3:uid="{F4C9E11C-010D-46FE-A899-97C02EC18842}" name="CAB" dataDxfId="25"/>
    <tableColumn id="8" xr3:uid="{7CB4B201-E909-461C-87E1-D6FAF82CB461}" name="Code 4" dataDxfId="24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B2BA89A-BAE2-4593-9179-AB50936DC9D6}" name="Table14" displayName="Table14" ref="AL1:AM8" totalsRowShown="0" headerRowDxfId="23" dataDxfId="22">
  <autoFilter ref="AL1:AM8" xr:uid="{CB2BA89A-BAE2-4593-9179-AB50936DC9D6}"/>
  <tableColumns count="2">
    <tableColumn id="1" xr3:uid="{D69598CE-A276-416E-B0D5-784875042039}" name="Column" dataDxfId="21"/>
    <tableColumn id="2" xr3:uid="{38CAE270-DE9F-4106-BB4B-C6CF08E9DAE7}" name="Rollers" dataDxfId="20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5372B1D-1D0B-4389-A0C1-DE90CDD35854}" name="Table15" displayName="Table15" ref="Q51:R54" totalsRowShown="0" headerRowDxfId="19" dataDxfId="18">
  <autoFilter ref="Q51:R54" xr:uid="{05372B1D-1D0B-4389-A0C1-DE90CDD35854}"/>
  <tableColumns count="2">
    <tableColumn id="1" xr3:uid="{2A35BB83-9F79-4EA0-BA4E-D1616DFCBC8E}" name="Spacers" dataDxfId="17"/>
    <tableColumn id="2" xr3:uid="{ADAFBCEE-C2DA-4E71-973C-700182F640E0}" name="Ammount" dataDxfId="16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481794E1-AF7C-4A66-8857-53465A5CD560}" name="Table16" displayName="Table16" ref="T51:U63" totalsRowShown="0" headerRowDxfId="15" dataDxfId="14">
  <autoFilter ref="T51:U63" xr:uid="{481794E1-AF7C-4A66-8857-53465A5CD560}"/>
  <tableColumns count="2">
    <tableColumn id="1" xr3:uid="{59705568-147A-48D1-A8DC-DEA23DE64708}" name="Strut" dataDxfId="13"/>
    <tableColumn id="2" xr3:uid="{EA934070-C744-43BD-AFB9-3DEC3FA4A9BA}" name="Code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1E2A7-5E11-448F-A99D-DA7AE7111F22}">
  <dimension ref="A1:V40"/>
  <sheetViews>
    <sheetView workbookViewId="0">
      <selection activeCell="R2" sqref="R2"/>
    </sheetView>
  </sheetViews>
  <sheetFormatPr defaultRowHeight="15" x14ac:dyDescent="0.25"/>
  <cols>
    <col min="1" max="1" width="10" bestFit="1" customWidth="1"/>
    <col min="2" max="2" width="10.28515625" bestFit="1" customWidth="1"/>
    <col min="3" max="3" width="30.85546875" bestFit="1" customWidth="1"/>
    <col min="4" max="5" width="27.140625" customWidth="1"/>
    <col min="8" max="8" width="20.140625" bestFit="1" customWidth="1"/>
    <col min="9" max="9" width="12.7109375" bestFit="1" customWidth="1"/>
    <col min="10" max="10" width="11.140625" bestFit="1" customWidth="1"/>
    <col min="11" max="11" width="14.42578125" bestFit="1" customWidth="1"/>
    <col min="12" max="12" width="11.42578125" bestFit="1" customWidth="1"/>
    <col min="13" max="13" width="17.5703125" bestFit="1" customWidth="1"/>
    <col min="14" max="14" width="12.140625" bestFit="1" customWidth="1"/>
    <col min="15" max="15" width="14.85546875" bestFit="1" customWidth="1"/>
    <col min="16" max="16" width="17.7109375" bestFit="1" customWidth="1"/>
    <col min="17" max="17" width="18.140625" bestFit="1" customWidth="1"/>
    <col min="18" max="18" width="16.5703125" bestFit="1" customWidth="1"/>
    <col min="20" max="20" width="14.7109375" bestFit="1" customWidth="1"/>
    <col min="21" max="21" width="13.28515625" bestFit="1" customWidth="1"/>
    <col min="22" max="22" width="15.28515625" bestFit="1" customWidth="1"/>
  </cols>
  <sheetData>
    <row r="1" spans="1:22" x14ac:dyDescent="0.25">
      <c r="A1" s="1" t="s">
        <v>0</v>
      </c>
      <c r="B1" s="1" t="s">
        <v>1</v>
      </c>
      <c r="C1" s="1" t="s">
        <v>166</v>
      </c>
      <c r="D1" s="1" t="s">
        <v>167</v>
      </c>
      <c r="E1" s="1" t="s">
        <v>255</v>
      </c>
      <c r="G1" s="2" t="s">
        <v>120</v>
      </c>
      <c r="H1" s="2" t="s">
        <v>11</v>
      </c>
      <c r="I1" s="2" t="s">
        <v>1</v>
      </c>
      <c r="J1" s="2" t="s">
        <v>30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125</v>
      </c>
      <c r="P1" s="2" t="s">
        <v>130</v>
      </c>
      <c r="Q1" s="2" t="s">
        <v>131</v>
      </c>
      <c r="R1" s="2" t="s">
        <v>132</v>
      </c>
      <c r="S1" s="2" t="s">
        <v>135</v>
      </c>
      <c r="T1" s="2" t="s">
        <v>138</v>
      </c>
      <c r="U1" s="2" t="s">
        <v>139</v>
      </c>
      <c r="V1" s="2" t="s">
        <v>164</v>
      </c>
    </row>
    <row r="2" spans="1:22" ht="30" x14ac:dyDescent="0.25">
      <c r="A2" s="1"/>
      <c r="B2" s="1"/>
      <c r="C2" s="1" t="s">
        <v>10</v>
      </c>
      <c r="D2" s="1" t="s">
        <v>168</v>
      </c>
      <c r="E2" s="1" t="s">
        <v>256</v>
      </c>
      <c r="G2" t="s">
        <v>12</v>
      </c>
      <c r="H2" t="s">
        <v>159</v>
      </c>
      <c r="I2" t="s">
        <v>31</v>
      </c>
      <c r="J2" t="s">
        <v>34</v>
      </c>
      <c r="K2" t="s">
        <v>39</v>
      </c>
      <c r="L2" t="s">
        <v>49</v>
      </c>
      <c r="M2" t="s">
        <v>64</v>
      </c>
      <c r="N2" t="s">
        <v>103</v>
      </c>
      <c r="O2" t="s">
        <v>103</v>
      </c>
      <c r="P2" t="s">
        <v>126</v>
      </c>
      <c r="Q2" t="s">
        <v>449</v>
      </c>
      <c r="R2" s="46" t="s">
        <v>126</v>
      </c>
      <c r="S2" t="s">
        <v>146</v>
      </c>
      <c r="T2" t="s">
        <v>148</v>
      </c>
      <c r="U2" t="s">
        <v>153</v>
      </c>
      <c r="V2" s="34" t="s">
        <v>633</v>
      </c>
    </row>
    <row r="3" spans="1:22" ht="45" x14ac:dyDescent="0.25">
      <c r="A3" s="45">
        <v>1.375</v>
      </c>
      <c r="B3" s="1">
        <v>2</v>
      </c>
      <c r="C3" s="1" t="s">
        <v>655</v>
      </c>
      <c r="D3" s="1" t="s">
        <v>657</v>
      </c>
      <c r="E3" s="1" t="s">
        <v>667</v>
      </c>
      <c r="G3" t="s">
        <v>13</v>
      </c>
      <c r="H3" t="s">
        <v>160</v>
      </c>
      <c r="I3" t="s">
        <v>32</v>
      </c>
      <c r="J3" t="s">
        <v>34</v>
      </c>
      <c r="K3" t="s">
        <v>40</v>
      </c>
      <c r="L3" t="s">
        <v>50</v>
      </c>
      <c r="M3" t="s">
        <v>65</v>
      </c>
      <c r="N3" t="s">
        <v>104</v>
      </c>
      <c r="O3" t="s">
        <v>104</v>
      </c>
      <c r="P3" t="s">
        <v>127</v>
      </c>
      <c r="Q3" t="s">
        <v>450</v>
      </c>
      <c r="R3" t="s">
        <v>133</v>
      </c>
      <c r="S3" t="s">
        <v>165</v>
      </c>
      <c r="T3" t="s">
        <v>149</v>
      </c>
      <c r="U3" t="s">
        <v>154</v>
      </c>
      <c r="V3" s="34" t="s">
        <v>634</v>
      </c>
    </row>
    <row r="4" spans="1:22" ht="30" x14ac:dyDescent="0.25">
      <c r="A4" s="45">
        <v>1.375</v>
      </c>
      <c r="B4" s="1">
        <v>3</v>
      </c>
      <c r="C4" s="1" t="s">
        <v>656</v>
      </c>
      <c r="D4" s="1" t="s">
        <v>658</v>
      </c>
      <c r="E4" s="1" t="s">
        <v>668</v>
      </c>
      <c r="H4" t="s">
        <v>161</v>
      </c>
      <c r="I4" t="s">
        <v>33</v>
      </c>
      <c r="J4" t="s">
        <v>35</v>
      </c>
      <c r="K4" t="s">
        <v>41</v>
      </c>
      <c r="L4" t="s">
        <v>51</v>
      </c>
      <c r="M4" t="s">
        <v>66</v>
      </c>
      <c r="N4" t="s">
        <v>105</v>
      </c>
      <c r="O4" t="s">
        <v>105</v>
      </c>
      <c r="P4" t="s">
        <v>128</v>
      </c>
      <c r="Q4" t="s">
        <v>451</v>
      </c>
      <c r="R4" t="s">
        <v>134</v>
      </c>
      <c r="S4" t="s">
        <v>147</v>
      </c>
      <c r="T4" t="s">
        <v>150</v>
      </c>
      <c r="U4" t="s">
        <v>155</v>
      </c>
      <c r="V4" s="34" t="s">
        <v>635</v>
      </c>
    </row>
    <row r="5" spans="1:22" ht="45" x14ac:dyDescent="0.25">
      <c r="A5" s="1">
        <v>2</v>
      </c>
      <c r="B5" s="1">
        <v>2</v>
      </c>
      <c r="C5" s="1" t="s">
        <v>6</v>
      </c>
      <c r="D5" s="1" t="s">
        <v>659</v>
      </c>
      <c r="E5" s="1" t="s">
        <v>663</v>
      </c>
      <c r="J5" t="s">
        <v>36</v>
      </c>
      <c r="K5" t="s">
        <v>42</v>
      </c>
      <c r="L5" t="s">
        <v>52</v>
      </c>
      <c r="M5" t="s">
        <v>67</v>
      </c>
      <c r="N5" t="s">
        <v>106</v>
      </c>
      <c r="O5" t="s">
        <v>116</v>
      </c>
      <c r="P5" t="s">
        <v>129</v>
      </c>
      <c r="Q5" t="s">
        <v>452</v>
      </c>
      <c r="T5" t="s">
        <v>151</v>
      </c>
      <c r="U5" t="s">
        <v>156</v>
      </c>
      <c r="V5" s="34" t="s">
        <v>636</v>
      </c>
    </row>
    <row r="6" spans="1:22" ht="45" x14ac:dyDescent="0.25">
      <c r="A6" s="1">
        <v>2</v>
      </c>
      <c r="B6" s="1">
        <v>3</v>
      </c>
      <c r="C6" s="1" t="s">
        <v>7</v>
      </c>
      <c r="D6" s="1" t="s">
        <v>660</v>
      </c>
      <c r="E6" s="1" t="s">
        <v>664</v>
      </c>
      <c r="J6" t="s">
        <v>37</v>
      </c>
      <c r="K6" t="s">
        <v>43</v>
      </c>
      <c r="M6" t="s">
        <v>68</v>
      </c>
      <c r="N6" t="s">
        <v>107</v>
      </c>
      <c r="O6" t="s">
        <v>117</v>
      </c>
      <c r="Q6" t="s">
        <v>453</v>
      </c>
      <c r="T6" t="s">
        <v>152</v>
      </c>
      <c r="U6" t="s">
        <v>157</v>
      </c>
      <c r="V6" s="34" t="s">
        <v>637</v>
      </c>
    </row>
    <row r="7" spans="1:22" ht="45" x14ac:dyDescent="0.25">
      <c r="A7" s="1">
        <v>3</v>
      </c>
      <c r="B7" s="1">
        <v>2</v>
      </c>
      <c r="C7" s="1" t="s">
        <v>8</v>
      </c>
      <c r="D7" s="1" t="s">
        <v>661</v>
      </c>
      <c r="E7" s="1" t="s">
        <v>665</v>
      </c>
      <c r="K7" t="s">
        <v>44</v>
      </c>
      <c r="M7" t="s">
        <v>69</v>
      </c>
      <c r="N7" t="s">
        <v>108</v>
      </c>
      <c r="O7" t="s">
        <v>111</v>
      </c>
      <c r="Q7" t="s">
        <v>454</v>
      </c>
      <c r="V7" s="34" t="s">
        <v>638</v>
      </c>
    </row>
    <row r="8" spans="1:22" x14ac:dyDescent="0.25">
      <c r="A8" s="1">
        <v>3</v>
      </c>
      <c r="B8" s="1">
        <v>3</v>
      </c>
      <c r="C8" s="1" t="s">
        <v>9</v>
      </c>
      <c r="D8" s="1" t="s">
        <v>662</v>
      </c>
      <c r="E8" s="1" t="s">
        <v>666</v>
      </c>
      <c r="K8" t="s">
        <v>45</v>
      </c>
      <c r="M8" t="s">
        <v>70</v>
      </c>
      <c r="N8" t="s">
        <v>109</v>
      </c>
      <c r="O8" t="s">
        <v>118</v>
      </c>
      <c r="Q8" t="s">
        <v>455</v>
      </c>
    </row>
    <row r="9" spans="1:22" x14ac:dyDescent="0.25">
      <c r="M9" t="s">
        <v>71</v>
      </c>
      <c r="N9" t="s">
        <v>110</v>
      </c>
      <c r="O9" t="s">
        <v>107</v>
      </c>
      <c r="Q9" t="s">
        <v>456</v>
      </c>
    </row>
    <row r="10" spans="1:22" x14ac:dyDescent="0.25">
      <c r="M10" t="s">
        <v>72</v>
      </c>
      <c r="N10" t="s">
        <v>111</v>
      </c>
      <c r="O10" t="s">
        <v>119</v>
      </c>
      <c r="Q10" t="s">
        <v>457</v>
      </c>
    </row>
    <row r="11" spans="1:22" x14ac:dyDescent="0.25">
      <c r="M11" t="s">
        <v>73</v>
      </c>
      <c r="N11" t="s">
        <v>112</v>
      </c>
      <c r="Q11" t="s">
        <v>458</v>
      </c>
    </row>
    <row r="12" spans="1:22" x14ac:dyDescent="0.25">
      <c r="M12" t="s">
        <v>74</v>
      </c>
      <c r="N12" t="s">
        <v>113</v>
      </c>
      <c r="Q12" t="s">
        <v>459</v>
      </c>
    </row>
    <row r="13" spans="1:22" x14ac:dyDescent="0.25">
      <c r="M13" t="s">
        <v>75</v>
      </c>
      <c r="N13" t="s">
        <v>114</v>
      </c>
    </row>
    <row r="14" spans="1:22" x14ac:dyDescent="0.25">
      <c r="M14" t="s">
        <v>76</v>
      </c>
      <c r="N14" t="s">
        <v>115</v>
      </c>
    </row>
    <row r="15" spans="1:22" x14ac:dyDescent="0.25">
      <c r="M15" t="s">
        <v>77</v>
      </c>
      <c r="N15" t="s">
        <v>102</v>
      </c>
    </row>
    <row r="16" spans="1:22" x14ac:dyDescent="0.25">
      <c r="M16" t="s">
        <v>78</v>
      </c>
    </row>
    <row r="17" spans="13:13" x14ac:dyDescent="0.25">
      <c r="M17" t="s">
        <v>79</v>
      </c>
    </row>
    <row r="18" spans="13:13" x14ac:dyDescent="0.25">
      <c r="M18" t="s">
        <v>80</v>
      </c>
    </row>
    <row r="19" spans="13:13" x14ac:dyDescent="0.25">
      <c r="M19" t="s">
        <v>81</v>
      </c>
    </row>
    <row r="20" spans="13:13" x14ac:dyDescent="0.25">
      <c r="M20" t="s">
        <v>82</v>
      </c>
    </row>
    <row r="21" spans="13:13" x14ac:dyDescent="0.25">
      <c r="M21" t="s">
        <v>83</v>
      </c>
    </row>
    <row r="22" spans="13:13" x14ac:dyDescent="0.25">
      <c r="M22" t="s">
        <v>84</v>
      </c>
    </row>
    <row r="23" spans="13:13" x14ac:dyDescent="0.25">
      <c r="M23" t="s">
        <v>85</v>
      </c>
    </row>
    <row r="24" spans="13:13" x14ac:dyDescent="0.25">
      <c r="M24" t="s">
        <v>86</v>
      </c>
    </row>
    <row r="25" spans="13:13" x14ac:dyDescent="0.25">
      <c r="M25" t="s">
        <v>87</v>
      </c>
    </row>
    <row r="26" spans="13:13" x14ac:dyDescent="0.25">
      <c r="M26" t="s">
        <v>88</v>
      </c>
    </row>
    <row r="27" spans="13:13" x14ac:dyDescent="0.25">
      <c r="M27" t="s">
        <v>89</v>
      </c>
    </row>
    <row r="28" spans="13:13" x14ac:dyDescent="0.25">
      <c r="M28" t="s">
        <v>90</v>
      </c>
    </row>
    <row r="29" spans="13:13" x14ac:dyDescent="0.25">
      <c r="M29" t="s">
        <v>91</v>
      </c>
    </row>
    <row r="30" spans="13:13" x14ac:dyDescent="0.25">
      <c r="M30" t="s">
        <v>92</v>
      </c>
    </row>
    <row r="31" spans="13:13" x14ac:dyDescent="0.25">
      <c r="M31" t="s">
        <v>93</v>
      </c>
    </row>
    <row r="32" spans="13:13" x14ac:dyDescent="0.25">
      <c r="M32" t="s">
        <v>94</v>
      </c>
    </row>
    <row r="33" spans="13:13" x14ac:dyDescent="0.25">
      <c r="M33" t="s">
        <v>95</v>
      </c>
    </row>
    <row r="34" spans="13:13" x14ac:dyDescent="0.25">
      <c r="M34" t="s">
        <v>96</v>
      </c>
    </row>
    <row r="35" spans="13:13" x14ac:dyDescent="0.25">
      <c r="M35" t="s">
        <v>97</v>
      </c>
    </row>
    <row r="36" spans="13:13" x14ac:dyDescent="0.25">
      <c r="M36" t="s">
        <v>98</v>
      </c>
    </row>
    <row r="37" spans="13:13" x14ac:dyDescent="0.25">
      <c r="M37" t="s">
        <v>99</v>
      </c>
    </row>
    <row r="38" spans="13:13" x14ac:dyDescent="0.25">
      <c r="M38" t="s">
        <v>100</v>
      </c>
    </row>
    <row r="39" spans="13:13" x14ac:dyDescent="0.25">
      <c r="M39" t="s">
        <v>101</v>
      </c>
    </row>
    <row r="40" spans="13:13" x14ac:dyDescent="0.25">
      <c r="M40" t="s">
        <v>102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21DCD-81CA-43F7-A3B0-8C27ACE3ED9E}">
  <dimension ref="A1:O32"/>
  <sheetViews>
    <sheetView tabSelected="1" zoomScale="81" workbookViewId="0">
      <selection activeCell="D22" sqref="D22"/>
    </sheetView>
  </sheetViews>
  <sheetFormatPr defaultColWidth="9.140625" defaultRowHeight="15" x14ac:dyDescent="0.25"/>
  <cols>
    <col min="1" max="1" width="19.28515625" style="1" customWidth="1"/>
    <col min="2" max="3" width="17.7109375" style="1" customWidth="1"/>
    <col min="4" max="4" width="39.5703125" style="1" bestFit="1" customWidth="1"/>
    <col min="5" max="5" width="17.7109375" style="1" customWidth="1"/>
    <col min="6" max="16384" width="9.140625" style="1"/>
  </cols>
  <sheetData>
    <row r="1" spans="1:6" ht="15.75" thickBot="1" x14ac:dyDescent="0.3">
      <c r="A1" s="56" t="str" cm="1">
        <f t="array" ref="A1">_xlfn.XLOOKUP(1, (Dropdown!A2:A8=FAB!B15)*(Dropdown!B2:B8=FAB!B16),Dropdown!C2:C8)</f>
        <v>" Door / " Track Fabrication</v>
      </c>
      <c r="B1" s="57"/>
      <c r="C1" s="57"/>
      <c r="D1" s="57"/>
      <c r="E1" s="58"/>
      <c r="F1" s="36"/>
    </row>
    <row r="2" spans="1:6" x14ac:dyDescent="0.25">
      <c r="A2" s="59" t="s">
        <v>26</v>
      </c>
      <c r="B2" s="62"/>
      <c r="C2" s="37" t="s">
        <v>14</v>
      </c>
      <c r="D2" s="60" t="s">
        <v>53</v>
      </c>
      <c r="E2" s="61"/>
      <c r="F2" s="36"/>
    </row>
    <row r="3" spans="1:6" x14ac:dyDescent="0.25">
      <c r="A3" s="4" t="s">
        <v>2</v>
      </c>
      <c r="B3" s="20"/>
      <c r="C3" s="63"/>
      <c r="D3" s="6" t="s">
        <v>140</v>
      </c>
      <c r="E3" s="5"/>
      <c r="F3" s="36"/>
    </row>
    <row r="4" spans="1:6" x14ac:dyDescent="0.25">
      <c r="A4" s="4" t="s">
        <v>3</v>
      </c>
      <c r="B4" s="20"/>
      <c r="C4" s="63"/>
      <c r="D4" s="6" t="s">
        <v>141</v>
      </c>
      <c r="E4" s="5"/>
      <c r="F4" s="36"/>
    </row>
    <row r="5" spans="1:6" x14ac:dyDescent="0.25">
      <c r="A5" s="4" t="s">
        <v>4</v>
      </c>
      <c r="B5" s="21"/>
      <c r="C5" s="63"/>
      <c r="D5" s="6" t="s">
        <v>142</v>
      </c>
      <c r="E5" s="5"/>
      <c r="F5" s="36"/>
    </row>
    <row r="6" spans="1:6" x14ac:dyDescent="0.25">
      <c r="A6" s="4" t="s">
        <v>15</v>
      </c>
      <c r="B6" s="20"/>
      <c r="C6" s="63"/>
      <c r="D6" s="6" t="s">
        <v>143</v>
      </c>
      <c r="E6" s="5"/>
      <c r="F6" s="36"/>
    </row>
    <row r="7" spans="1:6" x14ac:dyDescent="0.25">
      <c r="A7" s="4" t="s">
        <v>16</v>
      </c>
      <c r="B7" s="20"/>
      <c r="C7" s="63"/>
      <c r="D7" s="6" t="s">
        <v>144</v>
      </c>
      <c r="E7" s="5"/>
      <c r="F7" s="36"/>
    </row>
    <row r="8" spans="1:6" x14ac:dyDescent="0.25">
      <c r="A8" s="4" t="s">
        <v>18</v>
      </c>
      <c r="B8" s="20"/>
      <c r="C8" s="63"/>
      <c r="D8" s="6" t="s">
        <v>145</v>
      </c>
      <c r="E8" s="5"/>
      <c r="F8" s="36"/>
    </row>
    <row r="9" spans="1:6" ht="15.75" thickBot="1" x14ac:dyDescent="0.3">
      <c r="A9" s="11" t="s">
        <v>19</v>
      </c>
      <c r="B9" s="22"/>
      <c r="C9" s="64"/>
      <c r="D9" s="8" t="s">
        <v>288</v>
      </c>
      <c r="E9" s="7"/>
      <c r="F9" s="36"/>
    </row>
    <row r="10" spans="1:6" x14ac:dyDescent="0.25">
      <c r="A10" s="59" t="s">
        <v>5</v>
      </c>
      <c r="B10" s="60"/>
      <c r="C10" s="61"/>
      <c r="D10" s="59" t="s">
        <v>61</v>
      </c>
      <c r="E10" s="61"/>
      <c r="F10" s="36"/>
    </row>
    <row r="11" spans="1:6" x14ac:dyDescent="0.25">
      <c r="A11" s="4" t="s">
        <v>22</v>
      </c>
      <c r="B11" s="6" t="s">
        <v>23</v>
      </c>
      <c r="C11" s="5" t="s">
        <v>24</v>
      </c>
      <c r="D11" s="69"/>
      <c r="E11" s="70"/>
      <c r="F11" s="36"/>
    </row>
    <row r="12" spans="1:6" x14ac:dyDescent="0.25">
      <c r="A12" s="4" t="s">
        <v>25</v>
      </c>
      <c r="B12" s="6"/>
      <c r="C12" s="5"/>
      <c r="D12" s="69"/>
      <c r="E12" s="70"/>
      <c r="F12" s="36"/>
    </row>
    <row r="13" spans="1:6" ht="15.75" thickBot="1" x14ac:dyDescent="0.3">
      <c r="A13" s="4" t="s">
        <v>21</v>
      </c>
      <c r="B13" s="6"/>
      <c r="C13" s="5"/>
      <c r="D13" s="71"/>
      <c r="E13" s="72"/>
      <c r="F13" s="36"/>
    </row>
    <row r="14" spans="1:6" x14ac:dyDescent="0.25">
      <c r="A14" s="59" t="s">
        <v>28</v>
      </c>
      <c r="B14" s="60"/>
      <c r="C14" s="60"/>
      <c r="D14" s="62"/>
      <c r="E14" s="37" t="s">
        <v>14</v>
      </c>
      <c r="F14" s="36"/>
    </row>
    <row r="15" spans="1:6" x14ac:dyDescent="0.25">
      <c r="A15" s="4" t="s">
        <v>29</v>
      </c>
      <c r="B15" s="6"/>
      <c r="C15" s="6" t="s">
        <v>162</v>
      </c>
      <c r="D15" s="20"/>
      <c r="E15" s="63"/>
      <c r="F15" s="36"/>
    </row>
    <row r="16" spans="1:6" x14ac:dyDescent="0.25">
      <c r="A16" s="4" t="s">
        <v>17</v>
      </c>
      <c r="B16" s="6"/>
      <c r="C16" s="6" t="s">
        <v>163</v>
      </c>
      <c r="D16" s="20"/>
      <c r="E16" s="63"/>
      <c r="F16" s="36"/>
    </row>
    <row r="17" spans="1:15" x14ac:dyDescent="0.25">
      <c r="A17" s="4" t="s">
        <v>27</v>
      </c>
      <c r="B17" s="6"/>
      <c r="C17" s="6" t="s">
        <v>54</v>
      </c>
      <c r="D17" s="20"/>
      <c r="E17" s="63"/>
      <c r="F17" s="36"/>
    </row>
    <row r="18" spans="1:15" x14ac:dyDescent="0.25">
      <c r="A18" s="4" t="s">
        <v>1</v>
      </c>
      <c r="B18" s="6"/>
      <c r="C18" s="6" t="s">
        <v>55</v>
      </c>
      <c r="D18" s="20"/>
      <c r="E18" s="63"/>
      <c r="F18" s="36"/>
    </row>
    <row r="19" spans="1:15" x14ac:dyDescent="0.25">
      <c r="A19" s="4" t="s">
        <v>30</v>
      </c>
      <c r="B19" s="6"/>
      <c r="C19" s="6" t="s">
        <v>56</v>
      </c>
      <c r="D19" s="20"/>
      <c r="E19" s="63"/>
      <c r="F19" s="36"/>
    </row>
    <row r="20" spans="1:15" x14ac:dyDescent="0.25">
      <c r="A20" s="4" t="s">
        <v>38</v>
      </c>
      <c r="B20" s="6"/>
      <c r="C20" s="6" t="s">
        <v>57</v>
      </c>
      <c r="D20" s="20"/>
      <c r="E20" s="63"/>
      <c r="F20" s="36"/>
    </row>
    <row r="21" spans="1:15" x14ac:dyDescent="0.25">
      <c r="A21" s="4" t="s">
        <v>47</v>
      </c>
      <c r="B21" s="6"/>
      <c r="C21" s="6" t="s">
        <v>58</v>
      </c>
      <c r="D21" s="20"/>
      <c r="E21" s="63"/>
      <c r="F21" s="36"/>
    </row>
    <row r="22" spans="1:15" x14ac:dyDescent="0.25">
      <c r="A22" s="4" t="s">
        <v>46</v>
      </c>
      <c r="B22" s="6"/>
      <c r="C22" s="6" t="s">
        <v>59</v>
      </c>
      <c r="D22" s="20"/>
      <c r="E22" s="63"/>
      <c r="F22" s="36"/>
    </row>
    <row r="23" spans="1:15" ht="15.75" thickBot="1" x14ac:dyDescent="0.3">
      <c r="A23" s="11" t="s">
        <v>48</v>
      </c>
      <c r="B23" s="8"/>
      <c r="C23" s="8" t="s">
        <v>60</v>
      </c>
      <c r="D23" s="22"/>
      <c r="E23" s="64"/>
      <c r="F23" s="36"/>
    </row>
    <row r="24" spans="1:15" ht="15.75" thickBot="1" x14ac:dyDescent="0.3">
      <c r="A24" s="56" t="s">
        <v>62</v>
      </c>
      <c r="B24" s="57"/>
      <c r="C24" s="57"/>
      <c r="D24" s="57"/>
      <c r="E24" s="58"/>
      <c r="F24" s="36"/>
    </row>
    <row r="25" spans="1:15" ht="15.75" thickBot="1" x14ac:dyDescent="0.3">
      <c r="A25" s="65" t="s">
        <v>13</v>
      </c>
      <c r="B25" s="66"/>
      <c r="C25" s="3" t="s">
        <v>63</v>
      </c>
      <c r="D25" s="67" t="str">
        <f ca="1">IF(A25="Yes",NOW(),"")</f>
        <v/>
      </c>
      <c r="E25" s="68"/>
      <c r="F25" s="36"/>
    </row>
    <row r="26" spans="1:15" x14ac:dyDescent="0.25">
      <c r="A26" s="47" t="s">
        <v>158</v>
      </c>
      <c r="B26" s="48"/>
      <c r="C26" s="48"/>
      <c r="D26" s="48"/>
      <c r="E26" s="49"/>
      <c r="F26" s="36"/>
    </row>
    <row r="27" spans="1:15" x14ac:dyDescent="0.25">
      <c r="A27" s="50"/>
      <c r="B27" s="51"/>
      <c r="C27" s="51"/>
      <c r="D27" s="51"/>
      <c r="E27" s="52"/>
      <c r="F27" s="36"/>
      <c r="O27" s="38"/>
    </row>
    <row r="28" spans="1:15" x14ac:dyDescent="0.25">
      <c r="A28" s="50"/>
      <c r="B28" s="51"/>
      <c r="C28" s="51"/>
      <c r="D28" s="51"/>
      <c r="E28" s="52"/>
      <c r="F28" s="36"/>
    </row>
    <row r="29" spans="1:15" x14ac:dyDescent="0.25">
      <c r="A29" s="50"/>
      <c r="B29" s="51"/>
      <c r="C29" s="51"/>
      <c r="D29" s="51"/>
      <c r="E29" s="52"/>
      <c r="F29" s="36"/>
    </row>
    <row r="30" spans="1:15" ht="15.75" thickBot="1" x14ac:dyDescent="0.3">
      <c r="A30" s="53"/>
      <c r="B30" s="54"/>
      <c r="C30" s="54"/>
      <c r="D30" s="54"/>
      <c r="E30" s="55"/>
      <c r="F30" s="36"/>
    </row>
    <row r="31" spans="1:15" x14ac:dyDescent="0.25">
      <c r="A31" s="36"/>
      <c r="B31" s="36"/>
      <c r="C31" s="36"/>
      <c r="D31" s="36"/>
      <c r="E31" s="36"/>
      <c r="F31" s="36"/>
    </row>
    <row r="32" spans="1:15" x14ac:dyDescent="0.25">
      <c r="A32" s="36"/>
      <c r="B32" s="36"/>
      <c r="C32" s="36"/>
      <c r="D32" s="36"/>
      <c r="E32" s="36"/>
      <c r="F32" s="36"/>
    </row>
  </sheetData>
  <mergeCells count="14">
    <mergeCell ref="A26:E26"/>
    <mergeCell ref="A27:E30"/>
    <mergeCell ref="A1:E1"/>
    <mergeCell ref="A10:C10"/>
    <mergeCell ref="A14:D14"/>
    <mergeCell ref="A2:B2"/>
    <mergeCell ref="D2:E2"/>
    <mergeCell ref="C3:C9"/>
    <mergeCell ref="A24:E24"/>
    <mergeCell ref="A25:B25"/>
    <mergeCell ref="D25:E25"/>
    <mergeCell ref="E15:E23"/>
    <mergeCell ref="D10:E10"/>
    <mergeCell ref="D11:E13"/>
  </mergeCells>
  <conditionalFormatting sqref="A24:E25">
    <cfRule type="expression" dxfId="11" priority="6">
      <formula>$A$25="Yes"</formula>
    </cfRule>
    <cfRule type="expression" dxfId="10" priority="7">
      <formula>$A$25="No"</formula>
    </cfRule>
  </conditionalFormatting>
  <conditionalFormatting sqref="B21:B22">
    <cfRule type="expression" dxfId="9" priority="3">
      <formula>ABS($B$22-$B$21)&lt;12</formula>
    </cfRule>
  </conditionalFormatting>
  <conditionalFormatting sqref="D4:E8">
    <cfRule type="expression" dxfId="8" priority="2">
      <formula>$E$3="None"</formula>
    </cfRule>
  </conditionalFormatting>
  <conditionalFormatting sqref="E3:E9 B3:B9 B12:C13 B15:B20 D15:D23 B23">
    <cfRule type="containsBlanks" dxfId="7" priority="11">
      <formula>LEN(TRIM(B3))=0</formula>
    </cfRule>
  </conditionalFormatting>
  <dataValidations count="2">
    <dataValidation type="whole" allowBlank="1" showInputMessage="1" showErrorMessage="1" sqref="C12" xr:uid="{9AD3D138-F143-4C18-9167-28AB8C0821FC}">
      <formula1>0</formula1>
      <formula2>12</formula2>
    </dataValidation>
    <dataValidation type="list" allowBlank="1" showInputMessage="1" showErrorMessage="1" sqref="D15" xr:uid="{C29231CE-6069-4054-A15E-3110ED0CEFBF}">
      <formula1>"Nylon, Steel"</formula1>
    </dataValidation>
  </dataValidations>
  <printOptions gridLines="1"/>
  <pageMargins left="0.7" right="0.7" top="0.75" bottom="0.75" header="0.3" footer="0.3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03039A5E-C3BB-4B2B-BC29-75FA527B3634}">
          <x14:formula1>
            <xm:f>Dropdown!$A$3:$A$8</xm:f>
          </x14:formula1>
          <xm:sqref>B15</xm:sqref>
        </x14:dataValidation>
        <x14:dataValidation type="list" allowBlank="1" showInputMessage="1" showErrorMessage="1" xr:uid="{7A0EE408-6648-4459-AE3D-7485026ED933}">
          <x14:formula1>
            <xm:f>Dropdown!$B$5:$B$8</xm:f>
          </x14:formula1>
          <xm:sqref>B16</xm:sqref>
        </x14:dataValidation>
        <x14:dataValidation type="list" allowBlank="1" showInputMessage="1" showErrorMessage="1" xr:uid="{FFAC8FE1-DC07-444A-AA6C-504E2260199A}">
          <x14:formula1>
            <xm:f>Dropdown!$G$2:$G$3</xm:f>
          </x14:formula1>
          <xm:sqref>E6 M21 B17 D16 D23 A25:B25</xm:sqref>
        </x14:dataValidation>
        <x14:dataValidation type="list" allowBlank="1" showInputMessage="1" showErrorMessage="1" xr:uid="{283612C2-F97F-4338-8820-1B750D932CE7}">
          <x14:formula1>
            <xm:f>Dropdown!$I$2:$I$4</xm:f>
          </x14:formula1>
          <xm:sqref>B18</xm:sqref>
        </x14:dataValidation>
        <x14:dataValidation type="list" allowBlank="1" showInputMessage="1" showErrorMessage="1" xr:uid="{BD6D1891-3D15-490E-B726-33C601B0509E}">
          <x14:formula1>
            <xm:f>Dropdown!$J$2:$J$6</xm:f>
          </x14:formula1>
          <xm:sqref>B19</xm:sqref>
        </x14:dataValidation>
        <x14:dataValidation type="list" allowBlank="1" showInputMessage="1" showErrorMessage="1" xr:uid="{B8344A43-91C3-48CF-9CB5-3A4885DBCF70}">
          <x14:formula1>
            <xm:f>Dropdown!$K$2:$K$8</xm:f>
          </x14:formula1>
          <xm:sqref>B20</xm:sqref>
        </x14:dataValidation>
        <x14:dataValidation type="list" allowBlank="1" showInputMessage="1" showErrorMessage="1" xr:uid="{7E442A67-89F0-4EAA-998A-CB293EBAE3A6}">
          <x14:formula1>
            <xm:f>Dropdown!$L$2:$L$5</xm:f>
          </x14:formula1>
          <xm:sqref>B23</xm:sqref>
        </x14:dataValidation>
        <x14:dataValidation type="list" allowBlank="1" showInputMessage="1" showErrorMessage="1" xr:uid="{2C794861-8EA5-4905-A5E7-AC7718649686}">
          <x14:formula1>
            <xm:f>Dropdown!$M$2:$M$40</xm:f>
          </x14:formula1>
          <xm:sqref>D17</xm:sqref>
        </x14:dataValidation>
        <x14:dataValidation type="list" allowBlank="1" showInputMessage="1" showErrorMessage="1" xr:uid="{0BE93CE9-8485-4544-9922-876F73975785}">
          <x14:formula1>
            <xm:f>Dropdown!$N$2:$N$15</xm:f>
          </x14:formula1>
          <xm:sqref>D18</xm:sqref>
        </x14:dataValidation>
        <x14:dataValidation type="list" allowBlank="1" showInputMessage="1" showErrorMessage="1" xr:uid="{F05C5473-AAB7-4151-92F2-826DA719E2F3}">
          <x14:formula1>
            <xm:f>Dropdown!$P$2:$P$5</xm:f>
          </x14:formula1>
          <xm:sqref>D19</xm:sqref>
        </x14:dataValidation>
        <x14:dataValidation type="list" allowBlank="1" showInputMessage="1" showErrorMessage="1" xr:uid="{CB9C752A-DA98-4D2C-B78D-67CCDBE2D9DE}">
          <x14:formula1>
            <xm:f>Dropdown!$O$2:$O$10</xm:f>
          </x14:formula1>
          <xm:sqref>D20</xm:sqref>
        </x14:dataValidation>
        <x14:dataValidation type="list" allowBlank="1" showInputMessage="1" showErrorMessage="1" xr:uid="{2A1F0B78-8E68-4FDB-A0E8-C029AB37BDAA}">
          <x14:formula1>
            <xm:f>Dropdown!$Q$2:$Q$20</xm:f>
          </x14:formula1>
          <xm:sqref>D21</xm:sqref>
        </x14:dataValidation>
        <x14:dataValidation type="list" allowBlank="1" showInputMessage="1" showErrorMessage="1" xr:uid="{96EE8513-DFCB-4703-AD4D-CC314B86EC61}">
          <x14:formula1>
            <xm:f>Dropdown!$R$2:$R$4</xm:f>
          </x14:formula1>
          <xm:sqref>D22</xm:sqref>
        </x14:dataValidation>
        <x14:dataValidation type="list" allowBlank="1" showInputMessage="1" showErrorMessage="1" xr:uid="{F11C64EA-E11A-429C-89C2-D59A2C8358EA}">
          <x14:formula1>
            <xm:f>Dropdown!$S$2:$S$4</xm:f>
          </x14:formula1>
          <xm:sqref>E3</xm:sqref>
        </x14:dataValidation>
        <x14:dataValidation type="list" allowBlank="1" showInputMessage="1" showErrorMessage="1" xr:uid="{1AA9E4B0-F4D5-4EC0-833C-8CF886236886}">
          <x14:formula1>
            <xm:f>Dropdown!$T$2:$T$6</xm:f>
          </x14:formula1>
          <xm:sqref>E7</xm:sqref>
        </x14:dataValidation>
        <x14:dataValidation type="list" allowBlank="1" showInputMessage="1" showErrorMessage="1" xr:uid="{0A8B250C-06C6-43BE-A495-6AFED68AAC97}">
          <x14:formula1>
            <xm:f>Dropdown!$U$2:$U$6</xm:f>
          </x14:formula1>
          <xm:sqref>E8</xm:sqref>
        </x14:dataValidation>
        <x14:dataValidation type="list" allowBlank="1" showInputMessage="1" showErrorMessage="1" xr:uid="{78677F70-F932-4141-B90D-E409449EF180}">
          <x14:formula1>
            <xm:f>Dropdown!$H$2:$H$4</xm:f>
          </x14:formula1>
          <xm:sqref>B8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1414-28AC-4C75-8F8D-25175AAA9E30}">
  <sheetPr>
    <pageSetUpPr fitToPage="1"/>
  </sheetPr>
  <dimension ref="A1:AN354"/>
  <sheetViews>
    <sheetView topLeftCell="D1" zoomScale="104" zoomScaleNormal="85" workbookViewId="0">
      <selection activeCell="AS35" sqref="AS35"/>
    </sheetView>
  </sheetViews>
  <sheetFormatPr defaultColWidth="8.85546875" defaultRowHeight="12" x14ac:dyDescent="0.2"/>
  <cols>
    <col min="1" max="1" width="17" style="6" bestFit="1" customWidth="1"/>
    <col min="2" max="2" width="23.28515625" style="6" bestFit="1" customWidth="1"/>
    <col min="3" max="3" width="28.5703125" style="6" bestFit="1" customWidth="1"/>
    <col min="4" max="4" width="28" style="6" bestFit="1" customWidth="1"/>
    <col min="5" max="5" width="19.85546875" style="6" customWidth="1"/>
    <col min="6" max="6" width="6.28515625" style="6" bestFit="1" customWidth="1"/>
    <col min="7" max="7" width="10.5703125" style="6" customWidth="1"/>
    <col min="8" max="8" width="17" style="6" customWidth="1"/>
    <col min="9" max="9" width="8.42578125" style="6" bestFit="1" customWidth="1"/>
    <col min="10" max="10" width="12" style="6" customWidth="1"/>
    <col min="11" max="11" width="8.85546875" style="6" customWidth="1"/>
    <col min="12" max="12" width="8.85546875" style="6" hidden="1" customWidth="1"/>
    <col min="13" max="13" width="17.28515625" style="6" hidden="1" customWidth="1"/>
    <col min="14" max="16" width="8.85546875" style="6" hidden="1" customWidth="1"/>
    <col min="17" max="17" width="21.140625" style="6" hidden="1" customWidth="1"/>
    <col min="18" max="18" width="24.5703125" style="6" hidden="1" customWidth="1"/>
    <col min="19" max="19" width="28.42578125" style="6" hidden="1" customWidth="1"/>
    <col min="20" max="20" width="29.28515625" style="6" hidden="1" customWidth="1"/>
    <col min="21" max="21" width="24" style="6" hidden="1" customWidth="1"/>
    <col min="22" max="22" width="21" style="6" hidden="1" customWidth="1"/>
    <col min="23" max="23" width="27.42578125" style="6" hidden="1" customWidth="1"/>
    <col min="24" max="24" width="10.5703125" style="6" hidden="1" customWidth="1"/>
    <col min="25" max="25" width="17.42578125" style="6" hidden="1" customWidth="1"/>
    <col min="26" max="26" width="8.85546875" style="6" hidden="1" customWidth="1"/>
    <col min="27" max="27" width="31.42578125" style="6" hidden="1" customWidth="1"/>
    <col min="28" max="28" width="32.140625" style="6" hidden="1" customWidth="1"/>
    <col min="29" max="29" width="32" style="6" hidden="1" customWidth="1"/>
    <col min="30" max="30" width="35" style="6" hidden="1" customWidth="1"/>
    <col min="31" max="31" width="8.85546875" style="6" hidden="1" customWidth="1"/>
    <col min="32" max="32" width="13.5703125" style="6" hidden="1" customWidth="1"/>
    <col min="33" max="33" width="18.28515625" style="6" hidden="1" customWidth="1"/>
    <col min="34" max="34" width="20.7109375" style="6" hidden="1" customWidth="1"/>
    <col min="35" max="35" width="32.42578125" style="6" hidden="1" customWidth="1"/>
    <col min="36" max="36" width="21.140625" style="6" hidden="1" customWidth="1"/>
    <col min="37" max="37" width="8.85546875" style="6" hidden="1" customWidth="1"/>
    <col min="38" max="38" width="11.7109375" style="6" hidden="1" customWidth="1"/>
    <col min="39" max="40" width="8.85546875" style="6" hidden="1" customWidth="1"/>
    <col min="41" max="16384" width="8.85546875" style="6"/>
  </cols>
  <sheetData>
    <row r="1" spans="1:39" ht="12.75" thickBot="1" x14ac:dyDescent="0.25">
      <c r="A1" s="86" t="str" cm="1">
        <f t="array" ref="A1">_xlfn.XLOOKUP(1, (Dropdown!A2:A8=FAB!B15)*(Dropdown!B2:B8=FAB!B16),Dropdown!D2:D8)</f>
        <v>Master</v>
      </c>
      <c r="B1" s="87"/>
      <c r="C1" s="87"/>
      <c r="D1" s="87"/>
      <c r="E1" s="87"/>
      <c r="F1" s="87"/>
      <c r="G1" s="87"/>
      <c r="H1" s="87"/>
      <c r="I1" s="87"/>
      <c r="J1" s="88"/>
      <c r="Q1" s="6" t="s">
        <v>21</v>
      </c>
      <c r="R1" s="6" t="s">
        <v>190</v>
      </c>
      <c r="S1" s="6" t="s">
        <v>191</v>
      </c>
      <c r="T1" s="6" t="s">
        <v>216</v>
      </c>
      <c r="U1" s="6" t="s">
        <v>217</v>
      </c>
      <c r="V1" s="6" t="s">
        <v>209</v>
      </c>
      <c r="X1" s="6" t="s">
        <v>21</v>
      </c>
      <c r="Z1" s="6" t="s">
        <v>21</v>
      </c>
      <c r="AA1" s="6" t="s">
        <v>190</v>
      </c>
      <c r="AB1" s="6" t="s">
        <v>191</v>
      </c>
      <c r="AD1" s="6" t="s">
        <v>582</v>
      </c>
      <c r="AF1" s="6" t="s">
        <v>21</v>
      </c>
      <c r="AG1" s="6" t="s">
        <v>296</v>
      </c>
      <c r="AH1" s="6" t="s">
        <v>297</v>
      </c>
      <c r="AI1" s="6" t="s">
        <v>308</v>
      </c>
      <c r="AJ1" s="6" t="s">
        <v>300</v>
      </c>
      <c r="AL1" s="6" t="s">
        <v>566</v>
      </c>
      <c r="AM1" s="6" t="s">
        <v>164</v>
      </c>
    </row>
    <row r="2" spans="1:39" ht="15" customHeight="1" x14ac:dyDescent="0.2">
      <c r="A2" s="47" t="s">
        <v>215</v>
      </c>
      <c r="B2" s="48"/>
      <c r="C2" s="49"/>
      <c r="D2" s="48" t="s">
        <v>28</v>
      </c>
      <c r="E2" s="48"/>
      <c r="F2" s="48"/>
      <c r="G2" s="48"/>
      <c r="H2" s="48"/>
      <c r="I2" s="48"/>
      <c r="J2" s="49"/>
      <c r="K2" s="4"/>
      <c r="M2" s="6" t="s">
        <v>182</v>
      </c>
      <c r="N2" s="6">
        <f>(I3*12)+J3</f>
        <v>0</v>
      </c>
      <c r="Q2" s="16">
        <v>6</v>
      </c>
      <c r="R2" s="6" t="s">
        <v>192</v>
      </c>
      <c r="S2" s="6" t="s">
        <v>199</v>
      </c>
      <c r="T2" s="6" t="s">
        <v>204</v>
      </c>
      <c r="U2" s="6" t="s">
        <v>218</v>
      </c>
      <c r="X2" s="6">
        <f>IF(J4="12in std radius", N4+0.2,N4+0.5)</f>
        <v>0.5</v>
      </c>
      <c r="Z2" s="6">
        <v>7.5</v>
      </c>
      <c r="AA2" s="6" t="s">
        <v>265</v>
      </c>
      <c r="AB2" s="6" t="s">
        <v>277</v>
      </c>
      <c r="AD2" s="6" t="s">
        <v>583</v>
      </c>
      <c r="AF2" s="16">
        <v>7</v>
      </c>
      <c r="AG2" s="6" t="s">
        <v>294</v>
      </c>
      <c r="AH2" s="6" t="s">
        <v>126</v>
      </c>
      <c r="AI2" s="6">
        <v>6</v>
      </c>
      <c r="AJ2" s="6" t="s">
        <v>301</v>
      </c>
      <c r="AL2" s="6">
        <v>4</v>
      </c>
      <c r="AM2" s="6">
        <v>10</v>
      </c>
    </row>
    <row r="3" spans="1:39" x14ac:dyDescent="0.2">
      <c r="A3" s="4" t="s">
        <v>15</v>
      </c>
      <c r="B3" s="89" t="str">
        <f>IF(ISBLANK(FAB!B6),"",FAB!B6)</f>
        <v/>
      </c>
      <c r="C3" s="89"/>
      <c r="D3" s="6" t="s">
        <v>20</v>
      </c>
      <c r="E3" s="82">
        <f>FAB!B12</f>
        <v>0</v>
      </c>
      <c r="F3" s="82"/>
      <c r="G3" s="6">
        <f>FAB!C12</f>
        <v>0</v>
      </c>
      <c r="H3" s="6" t="s">
        <v>170</v>
      </c>
      <c r="I3" s="6">
        <f>FAB!B13</f>
        <v>0</v>
      </c>
      <c r="J3" s="5">
        <f>FAB!C13</f>
        <v>0</v>
      </c>
      <c r="M3" s="6" t="s">
        <v>284</v>
      </c>
      <c r="N3" s="6">
        <f>(E3*12)+G3</f>
        <v>0</v>
      </c>
      <c r="Q3" s="6">
        <v>7</v>
      </c>
      <c r="R3" s="6" t="s">
        <v>192</v>
      </c>
      <c r="S3" s="6" t="s">
        <v>199</v>
      </c>
      <c r="T3" s="6" t="s">
        <v>204</v>
      </c>
      <c r="U3" s="6" t="s">
        <v>218</v>
      </c>
      <c r="V3" s="6" t="s">
        <v>210</v>
      </c>
      <c r="Z3" s="6">
        <v>8.5</v>
      </c>
      <c r="AA3" s="6" t="s">
        <v>266</v>
      </c>
      <c r="AB3" s="6" t="s">
        <v>277</v>
      </c>
      <c r="AD3" s="6" t="s">
        <v>584</v>
      </c>
      <c r="AF3" s="16">
        <v>8</v>
      </c>
      <c r="AG3" s="6" t="s">
        <v>294</v>
      </c>
      <c r="AH3" s="6" t="s">
        <v>126</v>
      </c>
      <c r="AI3" s="6">
        <v>8</v>
      </c>
      <c r="AJ3" s="6" t="s">
        <v>302</v>
      </c>
      <c r="AL3" s="6">
        <v>5</v>
      </c>
      <c r="AM3" s="6">
        <v>12</v>
      </c>
    </row>
    <row r="4" spans="1:39" x14ac:dyDescent="0.2">
      <c r="A4" s="4" t="s">
        <v>16</v>
      </c>
      <c r="B4" s="89" t="str">
        <f>IF(ISBLANK(FAB!B7),"",FAB!B7)</f>
        <v/>
      </c>
      <c r="C4" s="89"/>
      <c r="D4" s="6" t="s">
        <v>27</v>
      </c>
      <c r="E4" s="82" t="str">
        <f>IF(ISBLANK(FAB!B17),"",FAB!B17)</f>
        <v/>
      </c>
      <c r="F4" s="82"/>
      <c r="G4" s="6" t="s">
        <v>173</v>
      </c>
      <c r="H4" s="6" t="str">
        <f>IF(ISBLANK(FAB!D23),"",FAB!D23)</f>
        <v/>
      </c>
      <c r="I4" s="6" t="s">
        <v>121</v>
      </c>
      <c r="J4" s="5" t="str">
        <f>IF(ISBLANK(FAB!B20),"",FAB!B20)</f>
        <v/>
      </c>
      <c r="K4" s="4"/>
      <c r="M4" s="6" t="s">
        <v>285</v>
      </c>
      <c r="N4" s="6">
        <f>IF(J3&gt;0,I3+1,I3)</f>
        <v>0</v>
      </c>
      <c r="Q4" s="6">
        <v>8</v>
      </c>
      <c r="R4" s="6" t="s">
        <v>193</v>
      </c>
      <c r="S4" s="6" t="s">
        <v>199</v>
      </c>
      <c r="T4" s="6" t="s">
        <v>205</v>
      </c>
      <c r="U4" s="6" t="s">
        <v>218</v>
      </c>
      <c r="V4" s="6" t="s">
        <v>210</v>
      </c>
      <c r="Z4" s="6">
        <v>9.5</v>
      </c>
      <c r="AA4" s="6" t="s">
        <v>267</v>
      </c>
      <c r="AB4" s="6" t="s">
        <v>278</v>
      </c>
      <c r="AD4" s="6" t="s">
        <v>291</v>
      </c>
      <c r="AF4" s="16">
        <v>10</v>
      </c>
      <c r="AG4" s="6" t="s">
        <v>295</v>
      </c>
      <c r="AH4" s="6" t="s">
        <v>126</v>
      </c>
      <c r="AI4" s="6">
        <v>3</v>
      </c>
      <c r="AJ4" s="6" t="s">
        <v>303</v>
      </c>
      <c r="AL4" s="6">
        <v>6</v>
      </c>
      <c r="AM4" s="6">
        <v>14</v>
      </c>
    </row>
    <row r="5" spans="1:39" x14ac:dyDescent="0.2">
      <c r="A5" s="4" t="s">
        <v>18</v>
      </c>
      <c r="B5" s="89" t="str">
        <f>IF(ISBLANK(FAB!B8),"",FAB!B8)</f>
        <v/>
      </c>
      <c r="C5" s="89"/>
      <c r="D5" s="6" t="s">
        <v>171</v>
      </c>
      <c r="E5" s="82" t="str">
        <f>IF(ISBLANK(FAB!B18),"",FAB!B18)</f>
        <v/>
      </c>
      <c r="F5" s="82"/>
      <c r="G5" s="6" t="s">
        <v>174</v>
      </c>
      <c r="H5" s="6" t="str">
        <f>IF(ISBLANK(FAB!B21),IF(ISBLANK(FAB!B22),"",(FAB!B22-12)),FAB!B21)</f>
        <v/>
      </c>
      <c r="I5" s="6" t="s">
        <v>176</v>
      </c>
      <c r="J5" s="5" t="str">
        <f>IFERROR(IF(H5&gt;0,H5-N3,0),"")</f>
        <v/>
      </c>
      <c r="M5" s="6" t="s">
        <v>286</v>
      </c>
      <c r="N5" s="6">
        <f>PRODUCT(1/24,N3)</f>
        <v>0</v>
      </c>
      <c r="Q5" s="6">
        <v>9</v>
      </c>
      <c r="R5" s="6" t="s">
        <v>194</v>
      </c>
      <c r="S5" s="6" t="s">
        <v>200</v>
      </c>
      <c r="T5" s="6" t="s">
        <v>206</v>
      </c>
      <c r="U5" s="6" t="s">
        <v>219</v>
      </c>
      <c r="V5" s="6" t="s">
        <v>211</v>
      </c>
      <c r="Z5" s="6">
        <v>10.5</v>
      </c>
      <c r="AA5" s="6" t="s">
        <v>268</v>
      </c>
      <c r="AB5" s="6" t="s">
        <v>278</v>
      </c>
      <c r="AD5" s="6" t="s">
        <v>292</v>
      </c>
      <c r="AF5" s="16">
        <v>12</v>
      </c>
      <c r="AG5" s="6" t="s">
        <v>295</v>
      </c>
      <c r="AH5" s="6" t="s">
        <v>299</v>
      </c>
      <c r="AI5" s="6">
        <v>0</v>
      </c>
      <c r="AJ5" s="6" t="s">
        <v>304</v>
      </c>
      <c r="AL5" s="6">
        <v>7</v>
      </c>
      <c r="AM5" s="6">
        <v>16</v>
      </c>
    </row>
    <row r="6" spans="1:39" x14ac:dyDescent="0.2">
      <c r="A6" s="4" t="s">
        <v>169</v>
      </c>
      <c r="B6" s="89" t="str">
        <f>IF(ISBLANK(FAB!B9),"",FAB!B9)</f>
        <v/>
      </c>
      <c r="C6" s="89"/>
      <c r="D6" s="6" t="s">
        <v>172</v>
      </c>
      <c r="E6" s="82" t="str">
        <f>IF(ISBLANK(FAB!B23),"",FAB!B23)</f>
        <v/>
      </c>
      <c r="F6" s="82"/>
      <c r="G6" s="6" t="s">
        <v>586</v>
      </c>
      <c r="H6" s="6" t="str">
        <f>IF(ISBLANK(FAB!B22),IF(ISBLANK(FAB!B21),"",(FAB!B21+12)),FAB!B22)</f>
        <v/>
      </c>
      <c r="I6" s="6" t="s">
        <v>177</v>
      </c>
      <c r="J6" s="5" t="str">
        <f>IFERROR(IF(ISBLANK(J5),"",J5-7),"")</f>
        <v/>
      </c>
      <c r="Q6" s="6">
        <v>10</v>
      </c>
      <c r="R6" s="6" t="s">
        <v>195</v>
      </c>
      <c r="S6" s="6" t="s">
        <v>200</v>
      </c>
      <c r="T6" s="6" t="s">
        <v>206</v>
      </c>
      <c r="U6" s="6" t="s">
        <v>219</v>
      </c>
      <c r="V6" s="6" t="s">
        <v>211</v>
      </c>
      <c r="Z6" s="6">
        <v>11.5</v>
      </c>
      <c r="AA6" s="6" t="s">
        <v>269</v>
      </c>
      <c r="AB6" s="6" t="s">
        <v>279</v>
      </c>
      <c r="AD6" s="6" t="s">
        <v>293</v>
      </c>
      <c r="AF6" s="16">
        <v>14</v>
      </c>
      <c r="AG6" s="6" t="s">
        <v>295</v>
      </c>
      <c r="AH6" s="6" t="s">
        <v>299</v>
      </c>
      <c r="AI6" s="6">
        <v>2</v>
      </c>
      <c r="AJ6" s="6" t="s">
        <v>305</v>
      </c>
      <c r="AL6" s="6">
        <v>8</v>
      </c>
      <c r="AM6" s="6">
        <v>18</v>
      </c>
    </row>
    <row r="7" spans="1:39" x14ac:dyDescent="0.2">
      <c r="A7" s="4" t="s">
        <v>257</v>
      </c>
      <c r="B7" s="84" t="str">
        <f>IF(ISBLANK(FAB!B5),"",FAB!B5)</f>
        <v/>
      </c>
      <c r="C7" s="84"/>
      <c r="D7" s="6" t="s">
        <v>254</v>
      </c>
      <c r="E7" s="82" t="str">
        <f>IF(ISBLANK(FAB!D18),"",FAB!D18)</f>
        <v/>
      </c>
      <c r="F7" s="82"/>
      <c r="G7" s="6" t="s">
        <v>30</v>
      </c>
      <c r="H7" s="6" t="str">
        <f>IF(ISBLANK(FAB!B19),"",FAB!B19)</f>
        <v/>
      </c>
      <c r="I7" s="6" t="s">
        <v>173</v>
      </c>
      <c r="J7" s="5" t="str">
        <f>IF(ISBLANK(FAB!D23),"",FAB!D23)</f>
        <v/>
      </c>
      <c r="M7" s="6" t="s">
        <v>290</v>
      </c>
      <c r="N7" s="6" t="str">
        <f>IF(OR(J4="LHR front",J4="LHR rear"),"Yes","No")</f>
        <v>No</v>
      </c>
      <c r="Q7" s="6">
        <v>11</v>
      </c>
      <c r="R7" s="6" t="s">
        <v>196</v>
      </c>
      <c r="S7" s="6" t="s">
        <v>201</v>
      </c>
      <c r="T7" s="6" t="s">
        <v>207</v>
      </c>
      <c r="U7" s="6" t="s">
        <v>220</v>
      </c>
      <c r="V7" s="6" t="s">
        <v>212</v>
      </c>
      <c r="Z7" s="6">
        <v>12.5</v>
      </c>
      <c r="AA7" s="6" t="s">
        <v>269</v>
      </c>
      <c r="AB7" s="6" t="s">
        <v>279</v>
      </c>
      <c r="AL7" s="6">
        <v>9</v>
      </c>
      <c r="AM7" s="6">
        <v>20</v>
      </c>
    </row>
    <row r="8" spans="1:39" ht="12.75" thickBot="1" x14ac:dyDescent="0.25">
      <c r="A8" s="11" t="s">
        <v>258</v>
      </c>
      <c r="B8" s="66" t="str">
        <f>IF(ISBLANK(FAB!B4),"",FAB!B4)</f>
        <v/>
      </c>
      <c r="C8" s="85"/>
      <c r="D8" s="6" t="s">
        <v>123</v>
      </c>
      <c r="E8" s="66" t="str">
        <f>IF(ISBLANK(FAB!D17),"",FAB!D17)</f>
        <v/>
      </c>
      <c r="F8" s="66"/>
      <c r="G8" s="8" t="s">
        <v>186</v>
      </c>
      <c r="H8" s="8">
        <f>IF(INT(N5)=N5,N5,INT(N5)+1)</f>
        <v>0</v>
      </c>
      <c r="I8" s="8" t="s">
        <v>187</v>
      </c>
      <c r="J8" s="7">
        <f>INT(IF(E3&lt;8,1,PRODUCT(1/40, N2)))</f>
        <v>1</v>
      </c>
      <c r="Q8" s="6">
        <v>12</v>
      </c>
      <c r="R8" s="6" t="s">
        <v>196</v>
      </c>
      <c r="S8" s="6" t="s">
        <v>201</v>
      </c>
      <c r="T8" s="6" t="s">
        <v>207</v>
      </c>
      <c r="U8" s="6" t="s">
        <v>220</v>
      </c>
      <c r="V8" s="6" t="s">
        <v>212</v>
      </c>
      <c r="Z8" s="6">
        <v>13.5</v>
      </c>
      <c r="AA8" s="6" t="s">
        <v>270</v>
      </c>
      <c r="AB8" s="6" t="s">
        <v>280</v>
      </c>
      <c r="AD8" s="6" t="s">
        <v>318</v>
      </c>
      <c r="AL8" s="6">
        <v>10</v>
      </c>
      <c r="AM8" s="6">
        <v>22</v>
      </c>
    </row>
    <row r="9" spans="1:39" x14ac:dyDescent="0.2">
      <c r="A9" s="47" t="s">
        <v>178</v>
      </c>
      <c r="B9" s="48"/>
      <c r="C9" s="48"/>
      <c r="D9" s="48"/>
      <c r="E9" s="48"/>
      <c r="F9" s="48"/>
      <c r="G9" s="49"/>
      <c r="H9" s="48" t="s">
        <v>183</v>
      </c>
      <c r="I9" s="48"/>
      <c r="J9" s="49"/>
      <c r="Q9" s="6">
        <v>13</v>
      </c>
      <c r="R9" s="6" t="s">
        <v>197</v>
      </c>
      <c r="S9" s="6" t="s">
        <v>202</v>
      </c>
      <c r="T9" s="6" t="s">
        <v>208</v>
      </c>
      <c r="U9" s="6" t="s">
        <v>221</v>
      </c>
      <c r="V9" s="6" t="s">
        <v>213</v>
      </c>
      <c r="Z9" s="6">
        <v>14.5</v>
      </c>
      <c r="AA9" s="6" t="s">
        <v>270</v>
      </c>
      <c r="AB9" s="6" t="s">
        <v>280</v>
      </c>
      <c r="AD9" s="6" t="s">
        <v>312</v>
      </c>
      <c r="AF9" s="16" t="s">
        <v>321</v>
      </c>
      <c r="AG9" s="16" t="s">
        <v>320</v>
      </c>
      <c r="AH9" s="16" t="s">
        <v>327</v>
      </c>
      <c r="AI9" s="16" t="s">
        <v>326</v>
      </c>
      <c r="AJ9" s="16" t="s">
        <v>243</v>
      </c>
    </row>
    <row r="10" spans="1:39" x14ac:dyDescent="0.2">
      <c r="A10" s="4" t="s">
        <v>179</v>
      </c>
      <c r="B10" s="82" t="str">
        <f>IF(ISBLANK(FAB!E3),"",FAB!E3)</f>
        <v/>
      </c>
      <c r="C10" s="82"/>
      <c r="D10" s="6" t="s">
        <v>136</v>
      </c>
      <c r="E10" s="82" t="str">
        <f>IF(ISBLANK(FAB!E4),"",FAB!E4)</f>
        <v/>
      </c>
      <c r="F10" s="82"/>
      <c r="G10" s="9" t="s">
        <v>288</v>
      </c>
      <c r="H10" s="73" t="str">
        <f>IF(ISBLANK(FAB!E15),"",FAB!E15)</f>
        <v/>
      </c>
      <c r="I10" s="73"/>
      <c r="J10" s="70"/>
      <c r="Q10" s="6">
        <v>14</v>
      </c>
      <c r="R10" s="6" t="s">
        <v>197</v>
      </c>
      <c r="S10" s="6" t="s">
        <v>202</v>
      </c>
      <c r="T10" s="6" t="s">
        <v>208</v>
      </c>
      <c r="U10" s="6" t="s">
        <v>221</v>
      </c>
      <c r="V10" s="6" t="s">
        <v>213</v>
      </c>
      <c r="Z10" s="6">
        <v>15.5</v>
      </c>
      <c r="AB10" s="6" t="s">
        <v>281</v>
      </c>
      <c r="AD10" s="6" t="s">
        <v>313</v>
      </c>
      <c r="AF10" s="16">
        <v>0.20699999999999999</v>
      </c>
      <c r="AG10" s="16" t="s">
        <v>190</v>
      </c>
      <c r="AH10" s="16" t="s">
        <v>330</v>
      </c>
      <c r="AI10" s="16" t="s">
        <v>425</v>
      </c>
      <c r="AJ10" s="16" t="s">
        <v>414</v>
      </c>
    </row>
    <row r="11" spans="1:39" x14ac:dyDescent="0.2">
      <c r="A11" s="4" t="s">
        <v>180</v>
      </c>
      <c r="B11" s="82" t="str">
        <f>IF(ISBLANK(FAB!E7),"",FAB!E7)</f>
        <v/>
      </c>
      <c r="C11" s="82"/>
      <c r="D11" s="6" t="s">
        <v>137</v>
      </c>
      <c r="E11" s="82" t="str">
        <f>IF(ISBLANK(FAB!E5),"",FAB!E5)</f>
        <v/>
      </c>
      <c r="F11" s="82"/>
      <c r="G11" s="70" t="str">
        <f>IF(ISBLANK(FAB!E9),"",FAB!E9)</f>
        <v/>
      </c>
      <c r="H11" s="73"/>
      <c r="I11" s="73"/>
      <c r="J11" s="70"/>
      <c r="Q11" s="6">
        <v>15</v>
      </c>
      <c r="R11" s="6" t="s">
        <v>198</v>
      </c>
      <c r="S11" s="6" t="s">
        <v>203</v>
      </c>
      <c r="V11" s="6" t="s">
        <v>214</v>
      </c>
      <c r="Z11" s="6">
        <v>16.5</v>
      </c>
      <c r="AB11" s="6" t="s">
        <v>281</v>
      </c>
      <c r="AD11" s="6" t="s">
        <v>316</v>
      </c>
      <c r="AF11" s="16">
        <v>0.218</v>
      </c>
      <c r="AG11" s="16" t="s">
        <v>322</v>
      </c>
      <c r="AH11" s="16" t="s">
        <v>331</v>
      </c>
      <c r="AI11" s="16" t="s">
        <v>426</v>
      </c>
      <c r="AJ11" s="16" t="s">
        <v>415</v>
      </c>
    </row>
    <row r="12" spans="1:39" ht="15.75" customHeight="1" thickBot="1" x14ac:dyDescent="0.25">
      <c r="A12" s="11" t="s">
        <v>181</v>
      </c>
      <c r="B12" s="66" t="str">
        <f>IF(ISBLANK(FAB!E8),"",FAB!E8)</f>
        <v/>
      </c>
      <c r="C12" s="66"/>
      <c r="D12" s="8" t="s">
        <v>259</v>
      </c>
      <c r="E12" s="66" t="str">
        <f>IF(ISBLANK(FAB!E6),"",FAB!E6)</f>
        <v/>
      </c>
      <c r="F12" s="66"/>
      <c r="G12" s="72"/>
      <c r="H12" s="74"/>
      <c r="I12" s="74"/>
      <c r="J12" s="72"/>
      <c r="Q12" s="6">
        <v>16</v>
      </c>
      <c r="R12" s="6" t="s">
        <v>198</v>
      </c>
      <c r="S12" s="6" t="s">
        <v>203</v>
      </c>
      <c r="V12" s="6" t="s">
        <v>214</v>
      </c>
      <c r="Z12" s="6">
        <v>17.5</v>
      </c>
      <c r="AD12" s="6" t="s">
        <v>314</v>
      </c>
      <c r="AF12" s="16">
        <v>0.22500000000000001</v>
      </c>
      <c r="AG12" s="16" t="s">
        <v>323</v>
      </c>
      <c r="AH12" s="16" t="s">
        <v>332</v>
      </c>
      <c r="AI12" s="16" t="s">
        <v>427</v>
      </c>
      <c r="AJ12" s="16" t="s">
        <v>416</v>
      </c>
    </row>
    <row r="13" spans="1:39" ht="15" customHeight="1" x14ac:dyDescent="0.2">
      <c r="A13" s="47" t="s">
        <v>184</v>
      </c>
      <c r="B13" s="48"/>
      <c r="C13" s="49"/>
      <c r="D13" s="47" t="s">
        <v>61</v>
      </c>
      <c r="E13" s="48"/>
      <c r="F13" s="49"/>
      <c r="G13" s="92" t="s">
        <v>185</v>
      </c>
      <c r="H13" s="93"/>
      <c r="I13" s="93"/>
      <c r="J13" s="94"/>
      <c r="M13" s="6" t="s">
        <v>309</v>
      </c>
      <c r="Q13" s="6">
        <v>17</v>
      </c>
      <c r="Z13" s="6">
        <v>18.5</v>
      </c>
      <c r="AD13" s="6" t="s">
        <v>317</v>
      </c>
      <c r="AF13" s="16">
        <v>0.23400000000000001</v>
      </c>
      <c r="AG13" s="16" t="s">
        <v>324</v>
      </c>
      <c r="AH13" s="16" t="s">
        <v>333</v>
      </c>
      <c r="AI13" s="16" t="s">
        <v>428</v>
      </c>
      <c r="AJ13" s="16" t="s">
        <v>417</v>
      </c>
    </row>
    <row r="14" spans="1:39" ht="12.75" thickBot="1" x14ac:dyDescent="0.25">
      <c r="A14" s="69" t="str">
        <f>IF(ISBLANK(FAB!C3),"",FAB!C3)</f>
        <v/>
      </c>
      <c r="B14" s="73"/>
      <c r="C14" s="70"/>
      <c r="D14" s="69" t="str">
        <f>IF(ISBLANK(FAB!D11),"",FAB!D11)</f>
        <v/>
      </c>
      <c r="E14" s="73"/>
      <c r="F14" s="70"/>
      <c r="G14" s="10" t="str">
        <f>FAB!A25</f>
        <v>No</v>
      </c>
      <c r="H14" s="90" t="str">
        <f ca="1">IF(ISBLANK(FAB!D25),"",FAB!D25)</f>
        <v/>
      </c>
      <c r="I14" s="90"/>
      <c r="J14" s="91"/>
      <c r="M14" s="6" t="s">
        <v>310</v>
      </c>
      <c r="Q14" s="6">
        <v>18</v>
      </c>
      <c r="Z14" s="6">
        <v>7.2</v>
      </c>
      <c r="AA14" s="6" t="s">
        <v>271</v>
      </c>
      <c r="AB14" s="6" t="s">
        <v>271</v>
      </c>
      <c r="AD14" s="6" t="s">
        <v>315</v>
      </c>
      <c r="AF14" s="16">
        <v>0.24299999999999999</v>
      </c>
      <c r="AG14" s="16"/>
      <c r="AH14" s="16" t="s">
        <v>334</v>
      </c>
      <c r="AI14" s="16" t="s">
        <v>429</v>
      </c>
      <c r="AJ14" s="16" t="s">
        <v>418</v>
      </c>
    </row>
    <row r="15" spans="1:39" x14ac:dyDescent="0.2">
      <c r="A15" s="69"/>
      <c r="B15" s="73"/>
      <c r="C15" s="70"/>
      <c r="D15" s="69"/>
      <c r="E15" s="73"/>
      <c r="F15" s="73"/>
      <c r="G15" s="47" t="s">
        <v>242</v>
      </c>
      <c r="H15" s="48"/>
      <c r="I15" s="48"/>
      <c r="J15" s="49"/>
      <c r="Z15" s="6">
        <v>8.1999999999999993</v>
      </c>
      <c r="AA15" s="6" t="s">
        <v>272</v>
      </c>
      <c r="AB15" s="6" t="s">
        <v>272</v>
      </c>
      <c r="AF15" s="16">
        <v>0.25</v>
      </c>
      <c r="AG15" s="16"/>
      <c r="AH15" s="16" t="s">
        <v>335</v>
      </c>
      <c r="AI15" s="16" t="s">
        <v>430</v>
      </c>
      <c r="AJ15" s="16"/>
    </row>
    <row r="16" spans="1:39" ht="12" customHeight="1" thickBot="1" x14ac:dyDescent="0.25">
      <c r="A16" s="71"/>
      <c r="B16" s="74"/>
      <c r="C16" s="72"/>
      <c r="D16" s="69"/>
      <c r="E16" s="73"/>
      <c r="F16" s="73"/>
      <c r="G16" s="4" t="s">
        <v>585</v>
      </c>
      <c r="H16" s="6" t="s">
        <v>243</v>
      </c>
      <c r="I16" s="6" t="s">
        <v>242</v>
      </c>
      <c r="J16" s="5" t="s">
        <v>253</v>
      </c>
      <c r="M16" s="6">
        <v>80</v>
      </c>
      <c r="O16" s="6" t="s">
        <v>530</v>
      </c>
      <c r="Q16" s="17" t="s">
        <v>186</v>
      </c>
      <c r="R16" s="17" t="s">
        <v>222</v>
      </c>
      <c r="S16" s="17" t="s">
        <v>223</v>
      </c>
      <c r="T16" s="17" t="s">
        <v>224</v>
      </c>
      <c r="U16" s="17" t="s">
        <v>225</v>
      </c>
      <c r="V16" s="17" t="s">
        <v>226</v>
      </c>
      <c r="W16" s="17" t="s">
        <v>227</v>
      </c>
      <c r="Z16" s="6">
        <v>9.1999999999999993</v>
      </c>
      <c r="AA16" s="6" t="s">
        <v>273</v>
      </c>
      <c r="AB16" s="6" t="s">
        <v>273</v>
      </c>
      <c r="AF16" s="16">
        <v>0.26200000000000001</v>
      </c>
      <c r="AG16" s="16"/>
      <c r="AH16" s="16" t="s">
        <v>336</v>
      </c>
      <c r="AI16" s="16" t="s">
        <v>431</v>
      </c>
      <c r="AJ16" s="16"/>
    </row>
    <row r="17" spans="1:36" ht="12.75" thickBot="1" x14ac:dyDescent="0.25">
      <c r="A17" s="47" t="s">
        <v>1</v>
      </c>
      <c r="B17" s="48"/>
      <c r="C17" s="48"/>
      <c r="D17" s="48"/>
      <c r="E17" s="48"/>
      <c r="F17" s="48"/>
      <c r="G17" s="4"/>
      <c r="H17" s="6" t="s">
        <v>244</v>
      </c>
      <c r="I17" s="6">
        <f>IFERROR(T26,0)</f>
        <v>0</v>
      </c>
      <c r="J17" s="5">
        <f>IFERROR((I17+G17)*4,0)</f>
        <v>0</v>
      </c>
      <c r="M17" s="6">
        <v>81</v>
      </c>
      <c r="O17" s="6" t="s">
        <v>531</v>
      </c>
      <c r="Q17" s="18">
        <v>4</v>
      </c>
      <c r="R17" s="18">
        <v>3</v>
      </c>
      <c r="S17" s="18">
        <v>3</v>
      </c>
      <c r="T17" s="18">
        <v>6</v>
      </c>
      <c r="U17" s="18">
        <v>9</v>
      </c>
      <c r="V17" s="18">
        <v>12</v>
      </c>
      <c r="W17" s="18">
        <v>15</v>
      </c>
      <c r="Z17" s="6">
        <v>10.199999999999999</v>
      </c>
      <c r="AA17" s="6" t="s">
        <v>274</v>
      </c>
      <c r="AB17" s="6" t="s">
        <v>274</v>
      </c>
      <c r="AF17" s="16">
        <v>0.27300000000000002</v>
      </c>
      <c r="AG17" s="16"/>
      <c r="AH17" s="16" t="s">
        <v>337</v>
      </c>
      <c r="AI17" s="16" t="s">
        <v>432</v>
      </c>
      <c r="AJ17" s="16"/>
    </row>
    <row r="18" spans="1:36" x14ac:dyDescent="0.2">
      <c r="A18" s="4" t="s">
        <v>283</v>
      </c>
      <c r="B18" s="82" t="str">
        <f>IFERROR(IF(FAB!B16=2,VLOOKUP(N4,Table3[],2),VLOOKUP(N4,Table3[],3)),"")</f>
        <v/>
      </c>
      <c r="C18" s="89"/>
      <c r="D18" s="47" t="s">
        <v>289</v>
      </c>
      <c r="E18" s="48"/>
      <c r="F18" s="48"/>
      <c r="G18" s="4"/>
      <c r="H18" s="6" t="s">
        <v>245</v>
      </c>
      <c r="I18" s="6">
        <f t="shared" ref="I18:I25" si="0">T27</f>
        <v>0</v>
      </c>
      <c r="J18" s="5">
        <f t="shared" ref="J18:J25" si="1">(I18+G18)*4</f>
        <v>0</v>
      </c>
      <c r="M18" s="6">
        <v>82</v>
      </c>
      <c r="O18" s="6" t="s">
        <v>532</v>
      </c>
      <c r="Q18" s="19">
        <v>5</v>
      </c>
      <c r="R18" s="19">
        <v>4</v>
      </c>
      <c r="S18" s="19">
        <v>4</v>
      </c>
      <c r="T18" s="19">
        <v>7</v>
      </c>
      <c r="U18" s="19">
        <v>10</v>
      </c>
      <c r="V18" s="19">
        <v>13</v>
      </c>
      <c r="W18" s="19">
        <v>16</v>
      </c>
      <c r="Z18" s="6">
        <v>11.2</v>
      </c>
      <c r="AA18" s="6" t="s">
        <v>275</v>
      </c>
      <c r="AB18" s="6" t="s">
        <v>275</v>
      </c>
      <c r="AF18" s="16">
        <v>0.28299999999999997</v>
      </c>
      <c r="AG18" s="16"/>
      <c r="AH18" s="16" t="s">
        <v>338</v>
      </c>
      <c r="AI18" s="16" t="s">
        <v>433</v>
      </c>
      <c r="AJ18" s="16"/>
    </row>
    <row r="19" spans="1:36" x14ac:dyDescent="0.2">
      <c r="A19" s="4" t="str">
        <f>IF(E5="Jamb Bracket","Jamb Bracket 2 EA","Angle Mount 2 EA")</f>
        <v>Angle Mount 2 EA</v>
      </c>
      <c r="B19" s="82" t="str">
        <f>IFERROR(IF(FAB!B15=2,IF(E5="Jamb Bracket",VLOOKUP(N4,Table3[],4),VLOOKUP(N4,Table3[],6)),IF(E5="Jamb Bracket",VLOOKUP(N4,Table3[],5),VLOOKUP(N4,Table3[],6))),"")</f>
        <v/>
      </c>
      <c r="C19" s="89"/>
      <c r="D19" s="4" t="s">
        <v>296</v>
      </c>
      <c r="E19" s="6" t="b">
        <f>IF($N$7="Yes",VLOOKUP($N$4,Table6[],2))</f>
        <v>0</v>
      </c>
      <c r="F19" s="6" t="str">
        <f>IF(E19&gt;" ","2"," ")</f>
        <v>2</v>
      </c>
      <c r="G19" s="4"/>
      <c r="H19" s="6" t="s">
        <v>246</v>
      </c>
      <c r="I19" s="6">
        <f t="shared" si="0"/>
        <v>0</v>
      </c>
      <c r="J19" s="5">
        <f t="shared" si="1"/>
        <v>0</v>
      </c>
      <c r="M19" s="6">
        <v>83</v>
      </c>
      <c r="Q19" s="18">
        <v>6</v>
      </c>
      <c r="R19" s="18">
        <v>5</v>
      </c>
      <c r="S19" s="18">
        <v>5</v>
      </c>
      <c r="T19" s="18">
        <v>8</v>
      </c>
      <c r="U19" s="18">
        <v>11</v>
      </c>
      <c r="V19" s="18">
        <v>14</v>
      </c>
      <c r="W19" s="18">
        <v>17</v>
      </c>
      <c r="Z19" s="6">
        <v>12.2</v>
      </c>
      <c r="AA19" s="6" t="s">
        <v>275</v>
      </c>
      <c r="AB19" s="6" t="s">
        <v>275</v>
      </c>
      <c r="AF19" s="16">
        <v>0.29499999999999998</v>
      </c>
      <c r="AG19" s="16"/>
      <c r="AH19" s="16" t="s">
        <v>339</v>
      </c>
      <c r="AI19" s="16" t="s">
        <v>434</v>
      </c>
      <c r="AJ19" s="16"/>
    </row>
    <row r="20" spans="1:36" x14ac:dyDescent="0.2">
      <c r="A20" s="4" t="s">
        <v>189</v>
      </c>
      <c r="B20" s="82" t="str">
        <f>IFERROR(IF(FAB!B15=2,VLOOKUP(N4,Table3[],4),VLOOKUP(N4,Table3[],5)),"")</f>
        <v/>
      </c>
      <c r="C20" s="89"/>
      <c r="D20" s="4" t="s">
        <v>306</v>
      </c>
      <c r="E20" s="6" t="b">
        <f>IF($N$7="Yes",VLOOKUP($N$4,Table6[],3))</f>
        <v>0</v>
      </c>
      <c r="F20" s="6" t="str">
        <f>IF(E20&gt;" ","1"," ")</f>
        <v>1</v>
      </c>
      <c r="G20" s="4"/>
      <c r="H20" s="6" t="s">
        <v>247</v>
      </c>
      <c r="I20" s="6">
        <f t="shared" si="0"/>
        <v>0</v>
      </c>
      <c r="J20" s="5">
        <f t="shared" si="1"/>
        <v>0</v>
      </c>
      <c r="M20" s="6">
        <v>84</v>
      </c>
      <c r="Q20" s="19">
        <v>7</v>
      </c>
      <c r="R20" s="19">
        <v>6</v>
      </c>
      <c r="S20" s="19">
        <v>6</v>
      </c>
      <c r="T20" s="19">
        <v>9</v>
      </c>
      <c r="U20" s="19">
        <v>12</v>
      </c>
      <c r="V20" s="19">
        <v>15</v>
      </c>
      <c r="W20" s="19">
        <v>18</v>
      </c>
      <c r="Z20" s="6">
        <v>13.2</v>
      </c>
      <c r="AA20" s="6" t="s">
        <v>276</v>
      </c>
      <c r="AB20" s="6" t="s">
        <v>276</v>
      </c>
      <c r="AF20" s="16">
        <v>0.30599999999999999</v>
      </c>
      <c r="AG20" s="16"/>
      <c r="AH20" s="16" t="s">
        <v>340</v>
      </c>
      <c r="AI20" s="16" t="s">
        <v>435</v>
      </c>
      <c r="AJ20" s="16"/>
    </row>
    <row r="21" spans="1:36" x14ac:dyDescent="0.2">
      <c r="A21" s="4" t="s">
        <v>282</v>
      </c>
      <c r="B21" s="95"/>
      <c r="C21" s="96"/>
      <c r="D21" s="4" t="s">
        <v>298</v>
      </c>
      <c r="E21" s="6" t="b">
        <f>IF($N$7="Yes",VLOOKUP($N$4,Table6[],4))</f>
        <v>0</v>
      </c>
      <c r="F21" s="6" t="b">
        <f>E21</f>
        <v>0</v>
      </c>
      <c r="G21" s="4"/>
      <c r="H21" s="6" t="s">
        <v>248</v>
      </c>
      <c r="I21" s="6">
        <f t="shared" si="0"/>
        <v>0</v>
      </c>
      <c r="J21" s="5">
        <f t="shared" si="1"/>
        <v>0</v>
      </c>
      <c r="M21" s="6">
        <v>85</v>
      </c>
      <c r="Q21" s="18">
        <v>8</v>
      </c>
      <c r="R21" s="18">
        <v>7</v>
      </c>
      <c r="S21" s="18">
        <v>7</v>
      </c>
      <c r="T21" s="18">
        <v>10</v>
      </c>
      <c r="U21" s="18">
        <v>13</v>
      </c>
      <c r="V21" s="18">
        <v>16</v>
      </c>
      <c r="W21" s="18">
        <v>19</v>
      </c>
      <c r="Z21" s="6">
        <v>14.2</v>
      </c>
      <c r="AA21" s="6" t="s">
        <v>276</v>
      </c>
      <c r="AB21" s="6" t="s">
        <v>276</v>
      </c>
      <c r="AF21" s="16">
        <v>0.312</v>
      </c>
      <c r="AG21" s="16"/>
      <c r="AH21" s="16" t="s">
        <v>341</v>
      </c>
      <c r="AI21" s="16" t="s">
        <v>436</v>
      </c>
      <c r="AJ21" s="16"/>
    </row>
    <row r="22" spans="1:36" ht="12.75" thickBot="1" x14ac:dyDescent="0.25">
      <c r="A22" s="4" t="s">
        <v>264</v>
      </c>
      <c r="B22" s="66" t="s">
        <v>582</v>
      </c>
      <c r="C22" s="85"/>
      <c r="D22" s="4" t="s">
        <v>307</v>
      </c>
      <c r="E22" s="8" t="b">
        <f>IF($N$7="Yes",VLOOKUP($N$4,Table6[],5))</f>
        <v>0</v>
      </c>
      <c r="F22" s="8" t="str">
        <f>IF(E22&gt;" ","1"," ")</f>
        <v>1</v>
      </c>
      <c r="G22" s="4"/>
      <c r="H22" s="6" t="s">
        <v>249</v>
      </c>
      <c r="I22" s="6">
        <f t="shared" si="0"/>
        <v>0</v>
      </c>
      <c r="J22" s="5">
        <f t="shared" si="1"/>
        <v>0</v>
      </c>
      <c r="M22" s="6">
        <v>86</v>
      </c>
      <c r="Q22" s="19">
        <v>9</v>
      </c>
      <c r="R22" s="19">
        <v>8</v>
      </c>
      <c r="S22" s="19">
        <v>8</v>
      </c>
      <c r="T22" s="19">
        <v>11</v>
      </c>
      <c r="U22" s="19">
        <v>14</v>
      </c>
      <c r="V22" s="19">
        <v>17</v>
      </c>
      <c r="W22" s="19">
        <v>20</v>
      </c>
      <c r="AF22" s="16">
        <v>0.31900000000000001</v>
      </c>
      <c r="AG22" s="16"/>
      <c r="AH22" s="16" t="s">
        <v>342</v>
      </c>
      <c r="AI22" s="16" t="s">
        <v>437</v>
      </c>
      <c r="AJ22" s="16"/>
    </row>
    <row r="23" spans="1:36" x14ac:dyDescent="0.2">
      <c r="A23" s="47" t="s">
        <v>122</v>
      </c>
      <c r="B23" s="48"/>
      <c r="C23" s="48"/>
      <c r="D23" s="49"/>
      <c r="E23" s="48" t="s">
        <v>421</v>
      </c>
      <c r="F23" s="49"/>
      <c r="H23" s="6" t="s">
        <v>250</v>
      </c>
      <c r="I23" s="6">
        <f t="shared" si="0"/>
        <v>0</v>
      </c>
      <c r="J23" s="5">
        <f t="shared" si="1"/>
        <v>0</v>
      </c>
      <c r="M23" s="6">
        <v>87</v>
      </c>
      <c r="Q23" s="18">
        <v>10</v>
      </c>
      <c r="R23" s="18">
        <v>9</v>
      </c>
      <c r="S23" s="18">
        <v>9</v>
      </c>
      <c r="T23" s="18">
        <v>12</v>
      </c>
      <c r="U23" s="18">
        <v>15</v>
      </c>
      <c r="V23" s="18">
        <v>18</v>
      </c>
      <c r="W23" s="18">
        <v>21</v>
      </c>
      <c r="AF23" s="16">
        <v>0.33100000000000002</v>
      </c>
      <c r="AG23" s="16"/>
      <c r="AH23" s="16" t="s">
        <v>343</v>
      </c>
      <c r="AI23" s="16" t="s">
        <v>438</v>
      </c>
      <c r="AJ23" s="16"/>
    </row>
    <row r="24" spans="1:36" x14ac:dyDescent="0.2">
      <c r="A24" s="4" t="s">
        <v>243</v>
      </c>
      <c r="B24" s="82" t="s">
        <v>325</v>
      </c>
      <c r="C24" s="82"/>
      <c r="D24" s="5" t="s">
        <v>328</v>
      </c>
      <c r="E24" s="6" t="s">
        <v>136</v>
      </c>
      <c r="F24" s="5"/>
      <c r="H24" s="6" t="s">
        <v>251</v>
      </c>
      <c r="I24" s="6">
        <f t="shared" si="0"/>
        <v>0</v>
      </c>
      <c r="J24" s="5">
        <f t="shared" si="1"/>
        <v>0</v>
      </c>
      <c r="M24" s="6">
        <v>88</v>
      </c>
      <c r="AF24" s="16">
        <v>0.34300000000000003</v>
      </c>
      <c r="AG24" s="16"/>
      <c r="AH24" s="16" t="s">
        <v>344</v>
      </c>
      <c r="AI24" s="16" t="s">
        <v>439</v>
      </c>
      <c r="AJ24" s="16"/>
    </row>
    <row r="25" spans="1:36" x14ac:dyDescent="0.2">
      <c r="A25" s="4" t="s">
        <v>319</v>
      </c>
      <c r="B25" s="82"/>
      <c r="C25" s="82"/>
      <c r="D25" s="5"/>
      <c r="E25" s="6" t="s">
        <v>422</v>
      </c>
      <c r="F25" s="5"/>
      <c r="H25" s="6" t="s">
        <v>252</v>
      </c>
      <c r="I25" s="6">
        <f t="shared" si="0"/>
        <v>0</v>
      </c>
      <c r="J25" s="5">
        <f t="shared" si="1"/>
        <v>0</v>
      </c>
      <c r="M25" s="6">
        <v>89</v>
      </c>
      <c r="Q25" s="6" t="s">
        <v>240</v>
      </c>
      <c r="R25" s="6" t="s">
        <v>237</v>
      </c>
      <c r="S25" s="6" t="s">
        <v>238</v>
      </c>
      <c r="T25" s="6" t="s">
        <v>239</v>
      </c>
      <c r="V25" s="6" t="s">
        <v>241</v>
      </c>
      <c r="AF25" s="16">
        <v>0.36199999999999999</v>
      </c>
      <c r="AG25" s="16"/>
      <c r="AH25" s="16" t="s">
        <v>345</v>
      </c>
      <c r="AI25" s="16" t="s">
        <v>440</v>
      </c>
      <c r="AJ25" s="16"/>
    </row>
    <row r="26" spans="1:36" ht="12.75" thickBot="1" x14ac:dyDescent="0.25">
      <c r="A26" s="4" t="s">
        <v>320</v>
      </c>
      <c r="B26" s="82"/>
      <c r="C26" s="82"/>
      <c r="D26" s="5"/>
      <c r="E26" s="6" t="s">
        <v>423</v>
      </c>
      <c r="F26" s="5"/>
      <c r="G26" s="8">
        <f>SUM(G17:G25)</f>
        <v>0</v>
      </c>
      <c r="H26" s="8" t="s">
        <v>239</v>
      </c>
      <c r="I26" s="8">
        <f>SUM(I17:I25)</f>
        <v>0</v>
      </c>
      <c r="J26" s="7">
        <f>SUM(J17:J25)</f>
        <v>0</v>
      </c>
      <c r="M26" s="6">
        <v>90</v>
      </c>
      <c r="Q26" s="6" t="s">
        <v>228</v>
      </c>
      <c r="R26" s="6">
        <f>IF(AND($E$4="Yes",$H$8&gt;=2),2,0)</f>
        <v>0</v>
      </c>
      <c r="S26" s="6">
        <f>IF($H$8&gt;=2,2,0)</f>
        <v>0</v>
      </c>
      <c r="T26" s="6" t="e">
        <f>SUM(Table1[[#This Row],[DES]]+Table1[[#This Row],[Even]]+V26)</f>
        <v>#N/A</v>
      </c>
      <c r="V26" s="6" t="e" cm="1">
        <f t="array" ref="V26">INDEX(R17:W23,MATCH(H8,Q17:Q23),J8)</f>
        <v>#N/A</v>
      </c>
      <c r="AF26" s="16">
        <v>0.375</v>
      </c>
      <c r="AG26" s="16"/>
      <c r="AH26" s="16" t="s">
        <v>346</v>
      </c>
      <c r="AI26" s="16" t="s">
        <v>441</v>
      </c>
      <c r="AJ26" s="16"/>
    </row>
    <row r="27" spans="1:36" ht="12.75" thickBot="1" x14ac:dyDescent="0.25">
      <c r="A27" s="4" t="s">
        <v>329</v>
      </c>
      <c r="B27" s="82"/>
      <c r="C27" s="82"/>
      <c r="D27" s="5"/>
      <c r="E27" s="8" t="s">
        <v>239</v>
      </c>
      <c r="F27" s="7">
        <f>SUM(F24:F26)</f>
        <v>0</v>
      </c>
      <c r="G27" s="47" t="s">
        <v>614</v>
      </c>
      <c r="H27" s="48"/>
      <c r="I27" s="48"/>
      <c r="J27" s="49"/>
      <c r="M27" s="6">
        <v>91</v>
      </c>
      <c r="Q27" s="6" t="s">
        <v>229</v>
      </c>
      <c r="R27" s="6">
        <f>IF(AND($E$4="Yes",$H$8&gt;=3),2,0)</f>
        <v>0</v>
      </c>
      <c r="S27" s="6">
        <f>IF($H$8&gt;=3,2,0)</f>
        <v>0</v>
      </c>
      <c r="T27" s="6">
        <f>Table1[[#This Row],[DES]]+Table1[[#This Row],[Even]]</f>
        <v>0</v>
      </c>
      <c r="AF27" s="16">
        <v>0.39300000000000002</v>
      </c>
      <c r="AG27" s="16"/>
      <c r="AH27" s="16" t="s">
        <v>347</v>
      </c>
      <c r="AI27" s="16" t="s">
        <v>442</v>
      </c>
      <c r="AJ27" s="16"/>
    </row>
    <row r="28" spans="1:36" x14ac:dyDescent="0.2">
      <c r="A28" s="4" t="s">
        <v>420</v>
      </c>
      <c r="B28" s="82"/>
      <c r="C28" s="82"/>
      <c r="D28" s="5"/>
      <c r="E28" s="47" t="s">
        <v>423</v>
      </c>
      <c r="F28" s="49"/>
      <c r="G28" s="4">
        <f>I3-4</f>
        <v>-4</v>
      </c>
      <c r="H28" s="6" t="s">
        <v>615</v>
      </c>
      <c r="J28" s="5" t="s">
        <v>617</v>
      </c>
      <c r="M28" s="6">
        <v>92</v>
      </c>
      <c r="Q28" s="6" t="s">
        <v>230</v>
      </c>
      <c r="R28" s="6">
        <f>IF(AND($E$4="Yes",$H$8&gt;=4),2,0)</f>
        <v>0</v>
      </c>
      <c r="S28" s="15">
        <f>IF($H$8&gt;=4,2,0)</f>
        <v>0</v>
      </c>
      <c r="T28" s="6">
        <f>Table1[[#This Row],[DES]]+Table1[[#This Row],[Even]]</f>
        <v>0</v>
      </c>
      <c r="AF28" s="16">
        <v>0.40600000000000003</v>
      </c>
      <c r="AG28" s="16"/>
      <c r="AH28" s="16" t="s">
        <v>348</v>
      </c>
      <c r="AI28" s="16" t="s">
        <v>443</v>
      </c>
      <c r="AJ28" s="16"/>
    </row>
    <row r="29" spans="1:36" x14ac:dyDescent="0.2">
      <c r="A29" s="4" t="s">
        <v>326</v>
      </c>
      <c r="B29" s="82"/>
      <c r="C29" s="82"/>
      <c r="D29" s="5"/>
      <c r="E29" s="79"/>
      <c r="F29" s="83" t="s">
        <v>611</v>
      </c>
      <c r="G29" s="4">
        <f>I3</f>
        <v>0</v>
      </c>
      <c r="H29" s="6" t="s">
        <v>620</v>
      </c>
      <c r="J29" s="5" t="s">
        <v>616</v>
      </c>
      <c r="M29" s="6">
        <v>93</v>
      </c>
      <c r="Q29" s="6" t="s">
        <v>231</v>
      </c>
      <c r="R29" s="6">
        <f>IF(AND($E$4="Yes",$H$8&gt;=5),2,0)</f>
        <v>0</v>
      </c>
      <c r="S29" s="15">
        <f>IF($H$8&gt;=5,2,0)</f>
        <v>0</v>
      </c>
      <c r="T29" s="6">
        <f>Table1[[#This Row],[DES]]+Table1[[#This Row],[Even]]</f>
        <v>0</v>
      </c>
      <c r="AF29" s="16"/>
      <c r="AG29" s="16"/>
      <c r="AH29" s="12" t="s">
        <v>349</v>
      </c>
      <c r="AI29" s="13" t="s">
        <v>444</v>
      </c>
      <c r="AJ29" s="16"/>
    </row>
    <row r="30" spans="1:36" x14ac:dyDescent="0.2">
      <c r="A30" s="4" t="s">
        <v>327</v>
      </c>
      <c r="B30" s="82"/>
      <c r="C30" s="82"/>
      <c r="D30" s="5"/>
      <c r="E30" s="79"/>
      <c r="F30" s="83"/>
      <c r="G30" s="4">
        <v>1</v>
      </c>
      <c r="H30" s="6" t="s">
        <v>622</v>
      </c>
      <c r="J30" s="5" t="s">
        <v>619</v>
      </c>
      <c r="M30" s="6">
        <v>94</v>
      </c>
      <c r="Q30" s="6" t="s">
        <v>232</v>
      </c>
      <c r="R30" s="6">
        <f>IF(AND($E$4="Yes",$H$8&gt;=6),2,0)</f>
        <v>0</v>
      </c>
      <c r="S30" s="6">
        <f>IF($H$8&gt;=6,2,0)</f>
        <v>0</v>
      </c>
      <c r="T30" s="6">
        <f>Table1[[#This Row],[DES]]+Table1[[#This Row],[Even]]</f>
        <v>0</v>
      </c>
      <c r="AF30" s="16"/>
      <c r="AG30" s="16"/>
      <c r="AH30" s="12" t="s">
        <v>350</v>
      </c>
      <c r="AI30" s="13" t="s">
        <v>445</v>
      </c>
      <c r="AJ30" s="16"/>
    </row>
    <row r="31" spans="1:36" x14ac:dyDescent="0.2">
      <c r="A31" s="4" t="s">
        <v>419</v>
      </c>
      <c r="B31" s="82"/>
      <c r="C31" s="82"/>
      <c r="D31" s="5"/>
      <c r="E31" s="28"/>
      <c r="F31" s="29" t="s">
        <v>572</v>
      </c>
      <c r="G31" s="4">
        <v>1</v>
      </c>
      <c r="H31" s="6" t="s">
        <v>623</v>
      </c>
      <c r="I31" s="6" t="s">
        <v>12</v>
      </c>
      <c r="J31" s="5" t="s">
        <v>626</v>
      </c>
      <c r="M31" s="6">
        <v>95</v>
      </c>
      <c r="Q31" s="6" t="s">
        <v>233</v>
      </c>
      <c r="R31" s="6">
        <f>IF(AND($E$4="Yes",$H$8&gt;=7),2,0)</f>
        <v>0</v>
      </c>
      <c r="S31" s="6">
        <f>IF($H$8&gt;=7,2,0)</f>
        <v>0</v>
      </c>
      <c r="T31" s="6">
        <f>Table1[[#This Row],[DES]]+Table1[[#This Row],[Even]]</f>
        <v>0</v>
      </c>
      <c r="AF31" s="16"/>
      <c r="AG31" s="16"/>
      <c r="AH31" s="12" t="s">
        <v>351</v>
      </c>
      <c r="AI31" s="13" t="s">
        <v>446</v>
      </c>
      <c r="AJ31" s="16"/>
    </row>
    <row r="32" spans="1:36" ht="12.75" thickBot="1" x14ac:dyDescent="0.25">
      <c r="A32" s="4" t="s">
        <v>243</v>
      </c>
      <c r="B32" s="82"/>
      <c r="C32" s="82"/>
      <c r="D32" s="89"/>
      <c r="E32" s="79"/>
      <c r="F32" s="83" t="s">
        <v>612</v>
      </c>
      <c r="G32" s="4">
        <v>1</v>
      </c>
      <c r="H32" s="6" t="s">
        <v>624</v>
      </c>
      <c r="J32" s="5" t="s">
        <v>621</v>
      </c>
      <c r="M32" s="6">
        <v>96</v>
      </c>
      <c r="Q32" s="6" t="s">
        <v>234</v>
      </c>
      <c r="R32" s="6">
        <f>IF(AND($E$4="Yes",$H$8&gt;=8),2,0)</f>
        <v>0</v>
      </c>
      <c r="S32" s="6">
        <f>IF($H$8&gt;=8,2,0)</f>
        <v>0</v>
      </c>
      <c r="T32" s="6">
        <f>Table1[[#This Row],[DES]]+Table1[[#This Row],[Even]]</f>
        <v>0</v>
      </c>
      <c r="AF32" s="16"/>
      <c r="AG32" s="16"/>
      <c r="AH32" s="12" t="s">
        <v>352</v>
      </c>
      <c r="AI32" s="13" t="s">
        <v>447</v>
      </c>
      <c r="AJ32" s="16"/>
    </row>
    <row r="33" spans="1:36" ht="12" customHeight="1" x14ac:dyDescent="0.2">
      <c r="A33" s="47" t="s">
        <v>311</v>
      </c>
      <c r="B33" s="48"/>
      <c r="C33" s="48"/>
      <c r="D33" s="49"/>
      <c r="E33" s="79"/>
      <c r="F33" s="83"/>
      <c r="G33" s="4">
        <f>J26+((E31+E34)*10)</f>
        <v>0</v>
      </c>
      <c r="H33" s="6" t="s">
        <v>632</v>
      </c>
      <c r="I33" s="6">
        <v>1</v>
      </c>
      <c r="J33" s="5" t="s">
        <v>618</v>
      </c>
      <c r="M33" s="6">
        <v>97</v>
      </c>
      <c r="Q33" s="6" t="s">
        <v>235</v>
      </c>
      <c r="R33" s="6">
        <f>IF(AND($E$4="Yes",$H$8&gt;=9),2,0)</f>
        <v>0</v>
      </c>
      <c r="S33" s="6">
        <f>IF($H$8&gt;=9,2,0)</f>
        <v>0</v>
      </c>
      <c r="T33" s="6">
        <f>Table1[[#This Row],[DES]]+Table1[[#This Row],[Even]]</f>
        <v>0</v>
      </c>
      <c r="AF33" s="16"/>
      <c r="AG33" s="16"/>
      <c r="AH33" s="12" t="s">
        <v>353</v>
      </c>
      <c r="AI33" s="13" t="s">
        <v>448</v>
      </c>
      <c r="AJ33" s="16"/>
    </row>
    <row r="34" spans="1:36" x14ac:dyDescent="0.2">
      <c r="A34" s="76" t="s">
        <v>316</v>
      </c>
      <c r="B34" s="82"/>
      <c r="C34" s="6" t="s">
        <v>424</v>
      </c>
      <c r="D34" s="5">
        <v>5</v>
      </c>
      <c r="E34" s="28"/>
      <c r="F34" s="29" t="s">
        <v>572</v>
      </c>
      <c r="G34" s="79" t="s">
        <v>628</v>
      </c>
      <c r="H34" s="80" t="s">
        <v>625</v>
      </c>
      <c r="I34" s="81" t="s">
        <v>629</v>
      </c>
      <c r="J34" s="75" t="s">
        <v>627</v>
      </c>
      <c r="M34" s="6">
        <v>98</v>
      </c>
      <c r="Q34" s="6" t="s">
        <v>236</v>
      </c>
      <c r="R34" s="6">
        <f>IF(AND($E$4="Yes",$H$8&gt;=10),2,0)</f>
        <v>0</v>
      </c>
      <c r="S34" s="6">
        <f>IF($H$8&gt;=10,2,0)</f>
        <v>0</v>
      </c>
      <c r="T34" s="6">
        <f>Table1[[#This Row],[DES]]+Table1[[#This Row],[Even]]</f>
        <v>0</v>
      </c>
      <c r="AF34" s="16"/>
      <c r="AG34" s="16"/>
      <c r="AH34" s="12" t="s">
        <v>354</v>
      </c>
      <c r="AI34" s="13"/>
      <c r="AJ34" s="16"/>
    </row>
    <row r="35" spans="1:36" ht="15.75" customHeight="1" x14ac:dyDescent="0.2">
      <c r="A35" s="76" t="s">
        <v>316</v>
      </c>
      <c r="B35" s="82"/>
      <c r="C35" s="6" t="s">
        <v>424</v>
      </c>
      <c r="D35" s="5">
        <v>10</v>
      </c>
      <c r="E35" s="76"/>
      <c r="F35" s="75" t="s">
        <v>613</v>
      </c>
      <c r="G35" s="79"/>
      <c r="H35" s="80"/>
      <c r="I35" s="81"/>
      <c r="J35" s="75"/>
      <c r="M35" s="6">
        <v>99</v>
      </c>
      <c r="AF35" s="16"/>
      <c r="AG35" s="16"/>
      <c r="AH35" s="12" t="s">
        <v>355</v>
      </c>
      <c r="AI35" s="13"/>
      <c r="AJ35" s="16"/>
    </row>
    <row r="36" spans="1:36" x14ac:dyDescent="0.2">
      <c r="A36" s="4" t="s">
        <v>460</v>
      </c>
      <c r="C36" s="6" t="s">
        <v>461</v>
      </c>
      <c r="D36" s="5"/>
      <c r="E36" s="76"/>
      <c r="F36" s="75"/>
      <c r="G36" s="79"/>
      <c r="H36" s="80"/>
      <c r="I36" s="81"/>
      <c r="J36" s="75"/>
      <c r="M36" s="6">
        <v>100</v>
      </c>
      <c r="AF36" s="16"/>
      <c r="AG36" s="16"/>
      <c r="AH36" s="12" t="s">
        <v>356</v>
      </c>
      <c r="AI36" s="13"/>
      <c r="AJ36" s="16"/>
    </row>
    <row r="37" spans="1:36" ht="15.75" thickBot="1" x14ac:dyDescent="0.3">
      <c r="A37" s="4" t="s">
        <v>462</v>
      </c>
      <c r="C37" s="6" t="s">
        <v>463</v>
      </c>
      <c r="D37" s="5"/>
      <c r="E37" s="30"/>
      <c r="F37" s="31"/>
      <c r="G37" s="77" t="s">
        <v>631</v>
      </c>
      <c r="H37" s="78"/>
      <c r="I37" s="78"/>
      <c r="J37" s="7" t="s">
        <v>630</v>
      </c>
      <c r="M37" s="6">
        <v>101</v>
      </c>
      <c r="Q37" s="6" t="s">
        <v>464</v>
      </c>
      <c r="R37" s="6" t="s">
        <v>500</v>
      </c>
      <c r="S37" s="6" t="s">
        <v>474</v>
      </c>
      <c r="T37" s="6" t="s">
        <v>500</v>
      </c>
      <c r="U37" s="6" t="s">
        <v>485</v>
      </c>
      <c r="V37" s="6" t="s">
        <v>500</v>
      </c>
      <c r="W37" s="6" t="s">
        <v>463</v>
      </c>
      <c r="X37" s="6" t="s">
        <v>500</v>
      </c>
      <c r="Y37" s="6" t="s">
        <v>545</v>
      </c>
      <c r="Z37" s="6" t="s">
        <v>552</v>
      </c>
      <c r="AA37" s="6" t="s">
        <v>557</v>
      </c>
      <c r="AB37" s="6" t="s">
        <v>562</v>
      </c>
      <c r="AC37" s="6" t="s">
        <v>567</v>
      </c>
      <c r="AD37" s="6" t="s">
        <v>577</v>
      </c>
      <c r="AF37" s="16"/>
      <c r="AG37" s="16"/>
      <c r="AH37" s="12" t="s">
        <v>357</v>
      </c>
      <c r="AI37" s="13"/>
      <c r="AJ37" s="16"/>
    </row>
    <row r="38" spans="1:36" ht="15" customHeight="1" x14ac:dyDescent="0.2">
      <c r="A38" s="47" t="s">
        <v>533</v>
      </c>
      <c r="B38" s="48"/>
      <c r="C38" s="48"/>
      <c r="D38" s="48"/>
      <c r="E38" s="48"/>
      <c r="F38" s="49"/>
      <c r="G38" s="47" t="s">
        <v>158</v>
      </c>
      <c r="H38" s="48"/>
      <c r="I38" s="48"/>
      <c r="J38" s="49"/>
      <c r="M38" s="6">
        <v>102</v>
      </c>
      <c r="Q38" s="6" t="s">
        <v>465</v>
      </c>
      <c r="R38" s="6" t="s">
        <v>522</v>
      </c>
      <c r="S38" s="6" t="s">
        <v>475</v>
      </c>
      <c r="T38" s="6" t="s">
        <v>515</v>
      </c>
      <c r="U38" s="6" t="s">
        <v>486</v>
      </c>
      <c r="V38" s="6" t="s">
        <v>513</v>
      </c>
      <c r="W38" s="6" t="s">
        <v>488</v>
      </c>
      <c r="X38" s="6" t="s">
        <v>501</v>
      </c>
      <c r="Y38" s="6" t="s">
        <v>538</v>
      </c>
      <c r="Z38" s="6" t="s">
        <v>546</v>
      </c>
      <c r="AA38" s="6" t="s">
        <v>553</v>
      </c>
      <c r="AB38" s="6" t="s">
        <v>558</v>
      </c>
      <c r="AC38" s="6" t="s">
        <v>573</v>
      </c>
      <c r="AD38" s="6" t="s">
        <v>578</v>
      </c>
      <c r="AF38" s="16"/>
      <c r="AG38" s="16"/>
      <c r="AH38" s="12" t="s">
        <v>358</v>
      </c>
      <c r="AI38" s="13"/>
      <c r="AJ38" s="16"/>
    </row>
    <row r="39" spans="1:36" x14ac:dyDescent="0.2">
      <c r="A39" s="4"/>
      <c r="B39" s="6" t="s">
        <v>24</v>
      </c>
      <c r="D39" s="6" t="s">
        <v>320</v>
      </c>
      <c r="F39" s="5" t="s">
        <v>567</v>
      </c>
      <c r="G39" s="69" t="str">
        <f>IF(ISBLANK(FAB!A27),"",FAB!A27)</f>
        <v/>
      </c>
      <c r="H39" s="73"/>
      <c r="I39" s="73"/>
      <c r="J39" s="70"/>
      <c r="M39" s="6">
        <v>103</v>
      </c>
      <c r="Q39" s="6" t="s">
        <v>466</v>
      </c>
      <c r="R39" s="6" t="s">
        <v>523</v>
      </c>
      <c r="S39" s="6" t="s">
        <v>476</v>
      </c>
      <c r="T39" s="6" t="s">
        <v>516</v>
      </c>
      <c r="U39" s="6" t="s">
        <v>487</v>
      </c>
      <c r="V39" s="6" t="s">
        <v>514</v>
      </c>
      <c r="W39" s="6" t="s">
        <v>489</v>
      </c>
      <c r="X39" s="6" t="s">
        <v>502</v>
      </c>
      <c r="Y39" s="6" t="s">
        <v>539</v>
      </c>
      <c r="Z39" s="6" t="s">
        <v>547</v>
      </c>
      <c r="AA39" s="6" t="s">
        <v>554</v>
      </c>
      <c r="AB39" s="6" t="s">
        <v>559</v>
      </c>
      <c r="AC39" s="6" t="s">
        <v>574</v>
      </c>
      <c r="AD39" s="6" t="s">
        <v>579</v>
      </c>
      <c r="AF39" s="16"/>
      <c r="AG39" s="16"/>
      <c r="AH39" s="12" t="s">
        <v>359</v>
      </c>
      <c r="AI39" s="13"/>
      <c r="AJ39" s="16"/>
    </row>
    <row r="40" spans="1:36" x14ac:dyDescent="0.2">
      <c r="A40" s="4" t="str">
        <f>IF(E4="Yes",_xlfn.XLOOKUP(H8,Table14[Column],Table14[Rollers]),"4")</f>
        <v>4</v>
      </c>
      <c r="B40" s="6" t="s">
        <v>534</v>
      </c>
      <c r="C40" s="6" t="str">
        <f>IFERROR(IF(E4="Yes","0",_xlfn.XLOOKUP(H8,Table14[Column],Table14[Rollers])-4),"")</f>
        <v/>
      </c>
      <c r="D40" s="6" t="s">
        <v>535</v>
      </c>
      <c r="F40" s="5" t="s">
        <v>572</v>
      </c>
      <c r="G40" s="69"/>
      <c r="H40" s="73"/>
      <c r="I40" s="73"/>
      <c r="J40" s="70"/>
      <c r="M40" s="6">
        <v>104</v>
      </c>
      <c r="Q40" s="6" t="s">
        <v>467</v>
      </c>
      <c r="R40" s="6" t="s">
        <v>524</v>
      </c>
      <c r="S40" s="6" t="s">
        <v>477</v>
      </c>
      <c r="T40" s="6" t="s">
        <v>516</v>
      </c>
      <c r="W40" s="6" t="s">
        <v>490</v>
      </c>
      <c r="X40" s="6" t="s">
        <v>503</v>
      </c>
      <c r="Y40" s="6" t="s">
        <v>540</v>
      </c>
      <c r="Z40" s="6" t="s">
        <v>548</v>
      </c>
      <c r="AA40" s="6" t="s">
        <v>555</v>
      </c>
      <c r="AB40" s="6" t="s">
        <v>560</v>
      </c>
      <c r="AC40" s="6" t="s">
        <v>575</v>
      </c>
      <c r="AD40" s="6" t="s">
        <v>580</v>
      </c>
      <c r="AF40" s="16"/>
      <c r="AG40" s="16"/>
      <c r="AH40" s="12" t="s">
        <v>360</v>
      </c>
      <c r="AI40" s="13"/>
      <c r="AJ40" s="16"/>
    </row>
    <row r="41" spans="1:36" x14ac:dyDescent="0.2">
      <c r="A41" s="4" t="s">
        <v>538</v>
      </c>
      <c r="B41" s="6" t="s">
        <v>536</v>
      </c>
      <c r="C41" s="6" t="s">
        <v>553</v>
      </c>
      <c r="D41" s="6" t="s">
        <v>537</v>
      </c>
      <c r="E41" s="35"/>
      <c r="F41" s="32"/>
      <c r="G41" s="69"/>
      <c r="H41" s="73"/>
      <c r="I41" s="73"/>
      <c r="J41" s="70"/>
      <c r="M41" s="6">
        <v>105</v>
      </c>
      <c r="Q41" s="6" t="s">
        <v>468</v>
      </c>
      <c r="R41" s="6" t="s">
        <v>525</v>
      </c>
      <c r="S41" s="6" t="s">
        <v>478</v>
      </c>
      <c r="T41" s="6" t="s">
        <v>517</v>
      </c>
      <c r="W41" s="6" t="s">
        <v>491</v>
      </c>
      <c r="X41" s="6" t="s">
        <v>504</v>
      </c>
      <c r="Y41" s="6" t="s">
        <v>541</v>
      </c>
      <c r="Z41" s="6" t="s">
        <v>549</v>
      </c>
      <c r="AA41" s="6" t="s">
        <v>556</v>
      </c>
      <c r="AB41" s="6" t="s">
        <v>561</v>
      </c>
      <c r="AC41" s="6" t="s">
        <v>576</v>
      </c>
      <c r="AD41" s="6" t="s">
        <v>581</v>
      </c>
      <c r="AF41" s="16"/>
      <c r="AG41" s="16"/>
      <c r="AH41" s="12" t="s">
        <v>361</v>
      </c>
      <c r="AI41" s="13"/>
      <c r="AJ41" s="16"/>
    </row>
    <row r="42" spans="1:36" ht="12.75" thickBot="1" x14ac:dyDescent="0.25">
      <c r="A42" s="11" t="s">
        <v>565</v>
      </c>
      <c r="B42" s="8" t="s">
        <v>563</v>
      </c>
      <c r="C42" s="8">
        <f>IF(E4="Yes",4,2)</f>
        <v>2</v>
      </c>
      <c r="D42" s="8" t="s">
        <v>564</v>
      </c>
      <c r="E42" s="33"/>
      <c r="F42" s="31"/>
      <c r="G42" s="71"/>
      <c r="H42" s="74"/>
      <c r="I42" s="74"/>
      <c r="J42" s="72"/>
      <c r="M42" s="6">
        <v>106</v>
      </c>
      <c r="Q42" s="6" t="s">
        <v>469</v>
      </c>
      <c r="R42" s="6" t="s">
        <v>526</v>
      </c>
      <c r="S42" s="6" t="s">
        <v>479</v>
      </c>
      <c r="T42" s="6" t="s">
        <v>518</v>
      </c>
      <c r="W42" s="6" t="s">
        <v>492</v>
      </c>
      <c r="X42" s="6" t="s">
        <v>505</v>
      </c>
      <c r="Y42" s="6" t="s">
        <v>542</v>
      </c>
      <c r="Z42" s="6" t="s">
        <v>550</v>
      </c>
      <c r="AF42" s="16"/>
      <c r="AG42" s="16"/>
      <c r="AH42" s="12" t="s">
        <v>362</v>
      </c>
      <c r="AI42" s="13"/>
      <c r="AJ42" s="16"/>
    </row>
    <row r="43" spans="1:36" x14ac:dyDescent="0.2">
      <c r="A43" s="39"/>
      <c r="B43" s="39"/>
      <c r="C43" s="39"/>
      <c r="D43" s="39"/>
      <c r="E43" s="39"/>
      <c r="F43" s="39"/>
      <c r="G43" s="39"/>
      <c r="H43" s="39"/>
      <c r="I43" s="39"/>
      <c r="J43" s="39"/>
      <c r="M43" s="6">
        <v>107</v>
      </c>
      <c r="Q43" s="6" t="s">
        <v>470</v>
      </c>
      <c r="R43" s="6" t="s">
        <v>527</v>
      </c>
      <c r="S43" s="6" t="s">
        <v>480</v>
      </c>
      <c r="T43" s="6" t="s">
        <v>517</v>
      </c>
      <c r="W43" s="6" t="s">
        <v>493</v>
      </c>
      <c r="X43" s="6" t="s">
        <v>506</v>
      </c>
      <c r="Y43" s="6" t="s">
        <v>543</v>
      </c>
      <c r="Z43" s="6" t="s">
        <v>551</v>
      </c>
      <c r="AF43" s="16"/>
      <c r="AG43" s="16"/>
      <c r="AH43" s="12" t="s">
        <v>363</v>
      </c>
      <c r="AI43" s="13"/>
      <c r="AJ43" s="16"/>
    </row>
    <row r="44" spans="1:36" x14ac:dyDescent="0.2">
      <c r="A44" s="39"/>
      <c r="B44" s="39"/>
      <c r="C44" s="39"/>
      <c r="D44" s="39"/>
      <c r="E44" s="39"/>
      <c r="F44" s="39"/>
      <c r="G44" s="39"/>
      <c r="H44" s="39"/>
      <c r="I44" s="39"/>
      <c r="J44" s="39"/>
      <c r="M44" s="6">
        <v>108</v>
      </c>
      <c r="Q44" s="6" t="s">
        <v>471</v>
      </c>
      <c r="R44" s="6" t="s">
        <v>528</v>
      </c>
      <c r="S44" s="6" t="s">
        <v>481</v>
      </c>
      <c r="T44" s="6" t="s">
        <v>518</v>
      </c>
      <c r="W44" s="6" t="s">
        <v>494</v>
      </c>
      <c r="X44" s="6" t="s">
        <v>507</v>
      </c>
      <c r="Y44" s="6" t="s">
        <v>544</v>
      </c>
      <c r="Z44" s="6" t="s">
        <v>547</v>
      </c>
      <c r="AF44" s="16"/>
      <c r="AG44" s="16"/>
      <c r="AH44" s="12" t="s">
        <v>364</v>
      </c>
      <c r="AI44" s="13"/>
      <c r="AJ44" s="16"/>
    </row>
    <row r="45" spans="1:36" x14ac:dyDescent="0.2">
      <c r="A45" s="39"/>
      <c r="B45" s="39"/>
      <c r="C45" s="39"/>
      <c r="D45" s="39"/>
      <c r="E45" s="39"/>
      <c r="F45" s="39"/>
      <c r="G45" s="39"/>
      <c r="H45" s="39"/>
      <c r="I45" s="39"/>
      <c r="J45" s="39"/>
      <c r="M45" s="6">
        <v>109</v>
      </c>
      <c r="Q45" s="6" t="s">
        <v>472</v>
      </c>
      <c r="R45" s="6" t="s">
        <v>529</v>
      </c>
      <c r="S45" s="6" t="s">
        <v>482</v>
      </c>
      <c r="T45" s="6" t="s">
        <v>519</v>
      </c>
      <c r="W45" s="6" t="s">
        <v>495</v>
      </c>
      <c r="X45" s="6" t="s">
        <v>508</v>
      </c>
      <c r="AF45" s="16"/>
      <c r="AG45" s="16"/>
      <c r="AH45" s="12" t="s">
        <v>365</v>
      </c>
      <c r="AI45" s="13"/>
      <c r="AJ45" s="16"/>
    </row>
    <row r="46" spans="1:36" x14ac:dyDescent="0.2">
      <c r="A46" s="39"/>
      <c r="B46" s="39"/>
      <c r="C46" s="39"/>
      <c r="D46" s="39"/>
      <c r="E46" s="39"/>
      <c r="F46" s="39"/>
      <c r="G46" s="39"/>
      <c r="H46" s="39"/>
      <c r="I46" s="39"/>
      <c r="J46" s="39"/>
      <c r="M46" s="6">
        <v>110</v>
      </c>
      <c r="Q46" s="6" t="s">
        <v>473</v>
      </c>
      <c r="S46" s="6" t="s">
        <v>483</v>
      </c>
      <c r="T46" s="6" t="s">
        <v>520</v>
      </c>
      <c r="W46" s="6" t="s">
        <v>496</v>
      </c>
      <c r="X46" s="6" t="s">
        <v>509</v>
      </c>
      <c r="AF46" s="16"/>
      <c r="AG46" s="16"/>
      <c r="AH46" s="12" t="s">
        <v>366</v>
      </c>
      <c r="AI46" s="13"/>
      <c r="AJ46" s="16"/>
    </row>
    <row r="47" spans="1:36" x14ac:dyDescent="0.2">
      <c r="A47" s="39"/>
      <c r="B47" s="39"/>
      <c r="C47" s="39"/>
      <c r="D47" s="39"/>
      <c r="E47" s="39"/>
      <c r="F47" s="39"/>
      <c r="G47" s="39"/>
      <c r="H47" s="39"/>
      <c r="I47" s="39"/>
      <c r="J47" s="39"/>
      <c r="M47" s="6">
        <v>111</v>
      </c>
      <c r="S47" s="6" t="s">
        <v>484</v>
      </c>
      <c r="T47" s="6" t="s">
        <v>521</v>
      </c>
      <c r="W47" s="6" t="s">
        <v>497</v>
      </c>
      <c r="X47" s="6" t="s">
        <v>510</v>
      </c>
      <c r="AF47" s="16"/>
      <c r="AG47" s="16"/>
      <c r="AH47" s="12" t="s">
        <v>367</v>
      </c>
      <c r="AI47" s="13"/>
      <c r="AJ47" s="16"/>
    </row>
    <row r="48" spans="1:36" x14ac:dyDescent="0.2">
      <c r="A48" s="39"/>
      <c r="B48" s="39"/>
      <c r="C48" s="39"/>
      <c r="D48" s="39"/>
      <c r="E48" s="39"/>
      <c r="F48" s="39"/>
      <c r="G48" s="39"/>
      <c r="H48" s="39"/>
      <c r="I48" s="39"/>
      <c r="J48" s="39"/>
      <c r="M48" s="6">
        <v>112</v>
      </c>
      <c r="W48" s="6" t="s">
        <v>498</v>
      </c>
      <c r="X48" s="6" t="s">
        <v>511</v>
      </c>
      <c r="AF48" s="16"/>
      <c r="AG48" s="16"/>
      <c r="AH48" s="12" t="s">
        <v>368</v>
      </c>
      <c r="AI48" s="13"/>
      <c r="AJ48" s="16"/>
    </row>
    <row r="49" spans="1:36" x14ac:dyDescent="0.2">
      <c r="A49" s="39"/>
      <c r="B49" s="39"/>
      <c r="C49" s="39"/>
      <c r="D49" s="39"/>
      <c r="E49" s="39"/>
      <c r="F49" s="39"/>
      <c r="G49" s="39"/>
      <c r="H49" s="39"/>
      <c r="I49" s="39"/>
      <c r="J49" s="39"/>
      <c r="M49" s="6">
        <v>113</v>
      </c>
      <c r="W49" s="6" t="s">
        <v>499</v>
      </c>
      <c r="X49" s="6" t="s">
        <v>512</v>
      </c>
      <c r="AF49" s="16"/>
      <c r="AG49" s="16"/>
      <c r="AH49" s="12" t="s">
        <v>369</v>
      </c>
      <c r="AI49" s="13"/>
      <c r="AJ49" s="16"/>
    </row>
    <row r="50" spans="1:36" x14ac:dyDescent="0.2">
      <c r="A50" s="39"/>
      <c r="B50" s="39"/>
      <c r="C50" s="39"/>
      <c r="D50" s="39"/>
      <c r="E50" s="39"/>
      <c r="F50" s="39"/>
      <c r="G50" s="39"/>
      <c r="H50" s="39"/>
      <c r="I50" s="39"/>
      <c r="J50" s="39"/>
      <c r="M50" s="6">
        <v>114</v>
      </c>
      <c r="AF50" s="16"/>
      <c r="AG50" s="16"/>
      <c r="AH50" s="12" t="s">
        <v>370</v>
      </c>
      <c r="AI50" s="13"/>
      <c r="AJ50" s="16"/>
    </row>
    <row r="51" spans="1:36" x14ac:dyDescent="0.2">
      <c r="A51" s="39"/>
      <c r="B51" s="39"/>
      <c r="C51" s="39"/>
      <c r="D51" s="39"/>
      <c r="E51" s="39"/>
      <c r="F51" s="39"/>
      <c r="G51" s="39"/>
      <c r="H51" s="39"/>
      <c r="I51" s="39"/>
      <c r="J51" s="39"/>
      <c r="M51" s="6">
        <v>115</v>
      </c>
      <c r="Q51" s="6" t="s">
        <v>568</v>
      </c>
      <c r="R51" s="6" t="s">
        <v>569</v>
      </c>
      <c r="T51" s="6" t="s">
        <v>599</v>
      </c>
      <c r="U51" s="6" t="s">
        <v>500</v>
      </c>
      <c r="AF51" s="16"/>
      <c r="AG51" s="16"/>
      <c r="AH51" s="12" t="s">
        <v>371</v>
      </c>
      <c r="AI51" s="13"/>
      <c r="AJ51" s="16"/>
    </row>
    <row r="52" spans="1:36" x14ac:dyDescent="0.2">
      <c r="A52" s="39"/>
      <c r="B52" s="39"/>
      <c r="C52" s="39"/>
      <c r="D52" s="39"/>
      <c r="E52" s="39"/>
      <c r="F52" s="39"/>
      <c r="G52" s="39"/>
      <c r="H52" s="39"/>
      <c r="I52" s="39"/>
      <c r="J52" s="39"/>
      <c r="M52" s="6">
        <v>116</v>
      </c>
      <c r="Q52" s="6" t="s">
        <v>570</v>
      </c>
      <c r="R52" s="6">
        <f>IF(J4="LHR front",2,0)</f>
        <v>0</v>
      </c>
      <c r="T52" s="6" t="s">
        <v>587</v>
      </c>
      <c r="AF52" s="16"/>
      <c r="AG52" s="16"/>
      <c r="AH52" s="12" t="s">
        <v>372</v>
      </c>
      <c r="AI52" s="13"/>
      <c r="AJ52" s="16"/>
    </row>
    <row r="53" spans="1:36" x14ac:dyDescent="0.2">
      <c r="A53" s="39"/>
      <c r="B53" s="39"/>
      <c r="C53" s="39"/>
      <c r="D53" s="39"/>
      <c r="E53" s="39"/>
      <c r="F53" s="39"/>
      <c r="G53" s="39"/>
      <c r="H53" s="39"/>
      <c r="I53" s="39"/>
      <c r="J53" s="39"/>
      <c r="M53" s="6">
        <v>117</v>
      </c>
      <c r="Q53" s="6" t="s">
        <v>571</v>
      </c>
      <c r="R53" s="6">
        <f>R54</f>
        <v>0</v>
      </c>
      <c r="T53" s="6" t="s">
        <v>588</v>
      </c>
      <c r="U53" s="6" t="s">
        <v>600</v>
      </c>
      <c r="AF53" s="16"/>
      <c r="AG53" s="16"/>
      <c r="AH53" s="12" t="s">
        <v>373</v>
      </c>
      <c r="AI53" s="13"/>
      <c r="AJ53" s="16"/>
    </row>
    <row r="54" spans="1:36" x14ac:dyDescent="0.2">
      <c r="A54" s="39"/>
      <c r="B54" s="39"/>
      <c r="C54" s="39"/>
      <c r="D54" s="39"/>
      <c r="E54" s="39"/>
      <c r="F54" s="39"/>
      <c r="G54" s="39"/>
      <c r="H54" s="39"/>
      <c r="I54" s="39"/>
      <c r="J54" s="39"/>
      <c r="M54" s="6">
        <v>118</v>
      </c>
      <c r="Q54" s="6" t="s">
        <v>567</v>
      </c>
      <c r="R54" s="6">
        <f>E40</f>
        <v>0</v>
      </c>
      <c r="T54" s="6" t="s">
        <v>589</v>
      </c>
      <c r="U54" s="6" t="s">
        <v>601</v>
      </c>
      <c r="AF54" s="16"/>
      <c r="AG54" s="16"/>
      <c r="AH54" s="12" t="s">
        <v>374</v>
      </c>
      <c r="AI54" s="13"/>
      <c r="AJ54" s="16"/>
    </row>
    <row r="55" spans="1:36" x14ac:dyDescent="0.2">
      <c r="A55" s="39"/>
      <c r="B55" s="39"/>
      <c r="C55" s="39"/>
      <c r="D55" s="39"/>
      <c r="E55" s="39"/>
      <c r="F55" s="39"/>
      <c r="G55" s="39"/>
      <c r="H55" s="39"/>
      <c r="I55" s="39"/>
      <c r="J55" s="39"/>
      <c r="M55" s="6">
        <v>119</v>
      </c>
      <c r="T55" s="6" t="s">
        <v>590</v>
      </c>
      <c r="U55" s="6" t="s">
        <v>602</v>
      </c>
      <c r="AF55" s="16"/>
      <c r="AG55" s="16"/>
      <c r="AH55" s="12" t="s">
        <v>375</v>
      </c>
      <c r="AI55" s="13"/>
      <c r="AJ55" s="16"/>
    </row>
    <row r="56" spans="1:36" x14ac:dyDescent="0.2">
      <c r="A56" s="39"/>
      <c r="B56" s="39"/>
      <c r="C56" s="39"/>
      <c r="D56" s="39"/>
      <c r="E56" s="39"/>
      <c r="F56" s="39"/>
      <c r="G56" s="39"/>
      <c r="H56" s="39"/>
      <c r="I56" s="39"/>
      <c r="J56" s="39"/>
      <c r="M56" s="6">
        <v>120</v>
      </c>
      <c r="T56" s="6" t="s">
        <v>591</v>
      </c>
      <c r="U56" s="6" t="s">
        <v>603</v>
      </c>
      <c r="AF56" s="16"/>
      <c r="AG56" s="16"/>
      <c r="AH56" s="12" t="s">
        <v>376</v>
      </c>
      <c r="AI56" s="13"/>
      <c r="AJ56" s="16"/>
    </row>
    <row r="57" spans="1:36" x14ac:dyDescent="0.2">
      <c r="A57" s="39"/>
      <c r="B57" s="39"/>
      <c r="C57" s="39"/>
      <c r="D57" s="39"/>
      <c r="E57" s="39"/>
      <c r="F57" s="39"/>
      <c r="G57" s="39"/>
      <c r="H57" s="39"/>
      <c r="I57" s="39"/>
      <c r="J57" s="39"/>
      <c r="M57" s="6">
        <v>121</v>
      </c>
      <c r="T57" s="6" t="s">
        <v>592</v>
      </c>
      <c r="U57" s="6" t="s">
        <v>604</v>
      </c>
      <c r="AF57" s="16"/>
      <c r="AG57" s="16"/>
      <c r="AH57" s="12" t="s">
        <v>377</v>
      </c>
      <c r="AI57" s="13"/>
      <c r="AJ57" s="16"/>
    </row>
    <row r="58" spans="1:36" x14ac:dyDescent="0.2">
      <c r="A58" s="39"/>
      <c r="B58" s="39"/>
      <c r="C58" s="39"/>
      <c r="D58" s="39"/>
      <c r="E58" s="39"/>
      <c r="F58" s="39"/>
      <c r="G58" s="39"/>
      <c r="H58" s="39"/>
      <c r="I58" s="39"/>
      <c r="J58" s="39"/>
      <c r="M58" s="6">
        <v>122</v>
      </c>
      <c r="T58" s="6" t="s">
        <v>593</v>
      </c>
      <c r="U58" s="6" t="s">
        <v>605</v>
      </c>
      <c r="AF58" s="16"/>
      <c r="AG58" s="16"/>
      <c r="AH58" s="12" t="s">
        <v>378</v>
      </c>
      <c r="AI58" s="13"/>
      <c r="AJ58" s="16"/>
    </row>
    <row r="59" spans="1:36" hidden="1" x14ac:dyDescent="0.2">
      <c r="M59" s="6">
        <v>123</v>
      </c>
      <c r="T59" s="6" t="s">
        <v>594</v>
      </c>
      <c r="U59" s="6" t="s">
        <v>606</v>
      </c>
      <c r="AF59" s="16"/>
      <c r="AG59" s="16"/>
      <c r="AH59" s="12" t="s">
        <v>379</v>
      </c>
      <c r="AI59" s="13"/>
      <c r="AJ59" s="16"/>
    </row>
    <row r="60" spans="1:36" hidden="1" x14ac:dyDescent="0.2">
      <c r="M60" s="6">
        <v>124</v>
      </c>
      <c r="T60" s="6" t="s">
        <v>595</v>
      </c>
      <c r="U60" s="6" t="s">
        <v>607</v>
      </c>
      <c r="AF60" s="16"/>
      <c r="AG60" s="16"/>
      <c r="AH60" s="12" t="s">
        <v>380</v>
      </c>
      <c r="AI60" s="13"/>
      <c r="AJ60" s="16"/>
    </row>
    <row r="61" spans="1:36" hidden="1" x14ac:dyDescent="0.2">
      <c r="M61" s="6">
        <v>125</v>
      </c>
      <c r="T61" s="6" t="s">
        <v>596</v>
      </c>
      <c r="U61" s="6" t="s">
        <v>608</v>
      </c>
      <c r="AF61" s="16"/>
      <c r="AG61" s="16"/>
      <c r="AH61" s="12" t="s">
        <v>381</v>
      </c>
      <c r="AI61" s="13"/>
      <c r="AJ61" s="16"/>
    </row>
    <row r="62" spans="1:36" hidden="1" x14ac:dyDescent="0.2">
      <c r="M62" s="6">
        <v>126</v>
      </c>
      <c r="T62" s="6" t="s">
        <v>597</v>
      </c>
      <c r="U62" s="6" t="s">
        <v>609</v>
      </c>
      <c r="AF62" s="16"/>
      <c r="AG62" s="16"/>
      <c r="AH62" s="12" t="s">
        <v>382</v>
      </c>
      <c r="AI62" s="13"/>
      <c r="AJ62" s="16"/>
    </row>
    <row r="63" spans="1:36" hidden="1" x14ac:dyDescent="0.2">
      <c r="M63" s="6">
        <v>127</v>
      </c>
      <c r="T63" s="6" t="s">
        <v>598</v>
      </c>
      <c r="U63" s="6" t="s">
        <v>610</v>
      </c>
      <c r="AF63" s="16"/>
      <c r="AG63" s="16"/>
      <c r="AH63" s="12" t="s">
        <v>383</v>
      </c>
      <c r="AI63" s="13"/>
      <c r="AJ63" s="16"/>
    </row>
    <row r="64" spans="1:36" hidden="1" x14ac:dyDescent="0.2">
      <c r="M64" s="6">
        <v>128</v>
      </c>
      <c r="AF64" s="16"/>
      <c r="AG64" s="16"/>
      <c r="AH64" s="12" t="s">
        <v>384</v>
      </c>
      <c r="AI64" s="13"/>
      <c r="AJ64" s="16"/>
    </row>
    <row r="65" spans="13:36" hidden="1" x14ac:dyDescent="0.2">
      <c r="M65" s="6">
        <v>129</v>
      </c>
      <c r="AF65" s="16"/>
      <c r="AG65" s="16"/>
      <c r="AH65" s="12" t="s">
        <v>385</v>
      </c>
      <c r="AI65" s="13"/>
      <c r="AJ65" s="16"/>
    </row>
    <row r="66" spans="13:36" hidden="1" x14ac:dyDescent="0.2">
      <c r="M66" s="6">
        <v>130</v>
      </c>
      <c r="AF66" s="16"/>
      <c r="AG66" s="16"/>
      <c r="AH66" s="12" t="s">
        <v>386</v>
      </c>
      <c r="AI66" s="13"/>
      <c r="AJ66" s="16"/>
    </row>
    <row r="67" spans="13:36" hidden="1" x14ac:dyDescent="0.2">
      <c r="M67" s="6">
        <v>131</v>
      </c>
      <c r="AF67" s="16"/>
      <c r="AG67" s="16"/>
      <c r="AH67" s="12" t="s">
        <v>387</v>
      </c>
      <c r="AI67" s="13"/>
      <c r="AJ67" s="16"/>
    </row>
    <row r="68" spans="13:36" hidden="1" x14ac:dyDescent="0.2">
      <c r="M68" s="6">
        <v>132</v>
      </c>
      <c r="AF68" s="16"/>
      <c r="AG68" s="16"/>
      <c r="AH68" s="12" t="s">
        <v>388</v>
      </c>
      <c r="AI68" s="13"/>
      <c r="AJ68" s="16"/>
    </row>
    <row r="69" spans="13:36" hidden="1" x14ac:dyDescent="0.2">
      <c r="M69" s="6">
        <v>133</v>
      </c>
      <c r="AF69" s="16"/>
      <c r="AG69" s="16"/>
      <c r="AH69" s="12" t="s">
        <v>389</v>
      </c>
      <c r="AI69" s="13"/>
      <c r="AJ69" s="16"/>
    </row>
    <row r="70" spans="13:36" hidden="1" x14ac:dyDescent="0.2">
      <c r="M70" s="6">
        <v>134</v>
      </c>
      <c r="AF70" s="16"/>
      <c r="AG70" s="16"/>
      <c r="AH70" s="12" t="s">
        <v>390</v>
      </c>
      <c r="AI70" s="13"/>
      <c r="AJ70" s="16"/>
    </row>
    <row r="71" spans="13:36" hidden="1" x14ac:dyDescent="0.2">
      <c r="M71" s="6">
        <v>135</v>
      </c>
      <c r="AF71" s="16"/>
      <c r="AG71" s="16"/>
      <c r="AH71" s="12" t="s">
        <v>391</v>
      </c>
      <c r="AI71" s="13"/>
      <c r="AJ71" s="16"/>
    </row>
    <row r="72" spans="13:36" hidden="1" x14ac:dyDescent="0.2">
      <c r="M72" s="6">
        <v>136</v>
      </c>
      <c r="AF72" s="16"/>
      <c r="AG72" s="16"/>
      <c r="AH72" s="12" t="s">
        <v>392</v>
      </c>
      <c r="AI72" s="13"/>
      <c r="AJ72" s="16"/>
    </row>
    <row r="73" spans="13:36" hidden="1" x14ac:dyDescent="0.2">
      <c r="M73" s="6">
        <v>137</v>
      </c>
      <c r="AF73" s="16"/>
      <c r="AG73" s="16"/>
      <c r="AH73" s="12" t="s">
        <v>393</v>
      </c>
      <c r="AI73" s="13"/>
      <c r="AJ73" s="16"/>
    </row>
    <row r="74" spans="13:36" hidden="1" x14ac:dyDescent="0.2">
      <c r="M74" s="6">
        <v>138</v>
      </c>
      <c r="AF74" s="16"/>
      <c r="AG74" s="16"/>
      <c r="AH74" s="12" t="s">
        <v>394</v>
      </c>
      <c r="AI74" s="13"/>
      <c r="AJ74" s="16"/>
    </row>
    <row r="75" spans="13:36" hidden="1" x14ac:dyDescent="0.2">
      <c r="M75" s="6">
        <v>139</v>
      </c>
      <c r="AF75" s="16"/>
      <c r="AG75" s="16"/>
      <c r="AH75" s="12" t="s">
        <v>395</v>
      </c>
      <c r="AI75" s="13"/>
      <c r="AJ75" s="16"/>
    </row>
    <row r="76" spans="13:36" hidden="1" x14ac:dyDescent="0.2">
      <c r="M76" s="6">
        <v>140</v>
      </c>
      <c r="AF76" s="16"/>
      <c r="AG76" s="16"/>
      <c r="AH76" s="12" t="s">
        <v>396</v>
      </c>
      <c r="AI76" s="13"/>
      <c r="AJ76" s="16"/>
    </row>
    <row r="77" spans="13:36" hidden="1" x14ac:dyDescent="0.2">
      <c r="M77" s="6">
        <v>141</v>
      </c>
      <c r="AF77" s="16"/>
      <c r="AG77" s="16"/>
      <c r="AH77" s="12" t="s">
        <v>397</v>
      </c>
      <c r="AI77" s="13"/>
      <c r="AJ77" s="16"/>
    </row>
    <row r="78" spans="13:36" hidden="1" x14ac:dyDescent="0.2">
      <c r="M78" s="6">
        <v>142</v>
      </c>
      <c r="AF78" s="16"/>
      <c r="AG78" s="16"/>
      <c r="AH78" s="12" t="s">
        <v>398</v>
      </c>
      <c r="AI78" s="13"/>
      <c r="AJ78" s="16"/>
    </row>
    <row r="79" spans="13:36" hidden="1" x14ac:dyDescent="0.2">
      <c r="M79" s="6">
        <v>143</v>
      </c>
      <c r="AF79" s="16"/>
      <c r="AG79" s="16"/>
      <c r="AH79" s="12" t="s">
        <v>399</v>
      </c>
      <c r="AI79" s="13"/>
      <c r="AJ79" s="16"/>
    </row>
    <row r="80" spans="13:36" hidden="1" x14ac:dyDescent="0.2">
      <c r="M80" s="6">
        <v>144</v>
      </c>
      <c r="AF80" s="16"/>
      <c r="AG80" s="16"/>
      <c r="AH80" s="12" t="s">
        <v>400</v>
      </c>
      <c r="AI80" s="13"/>
      <c r="AJ80" s="16"/>
    </row>
    <row r="81" spans="13:36" hidden="1" x14ac:dyDescent="0.2">
      <c r="M81" s="6">
        <v>145</v>
      </c>
      <c r="AF81" s="16"/>
      <c r="AG81" s="16"/>
      <c r="AH81" s="12" t="s">
        <v>401</v>
      </c>
      <c r="AI81" s="13"/>
      <c r="AJ81" s="16"/>
    </row>
    <row r="82" spans="13:36" hidden="1" x14ac:dyDescent="0.2">
      <c r="M82" s="6">
        <v>146</v>
      </c>
      <c r="AF82" s="16"/>
      <c r="AG82" s="16"/>
      <c r="AH82" s="12" t="s">
        <v>402</v>
      </c>
      <c r="AI82" s="13"/>
      <c r="AJ82" s="16"/>
    </row>
    <row r="83" spans="13:36" hidden="1" x14ac:dyDescent="0.2">
      <c r="M83" s="6">
        <v>147</v>
      </c>
      <c r="AF83" s="16"/>
      <c r="AG83" s="16"/>
      <c r="AH83" s="12" t="s">
        <v>403</v>
      </c>
      <c r="AI83" s="13"/>
      <c r="AJ83" s="16"/>
    </row>
    <row r="84" spans="13:36" hidden="1" x14ac:dyDescent="0.2">
      <c r="M84" s="6">
        <v>148</v>
      </c>
      <c r="AF84" s="16"/>
      <c r="AG84" s="16"/>
      <c r="AH84" s="12" t="s">
        <v>404</v>
      </c>
      <c r="AI84" s="13"/>
      <c r="AJ84" s="16"/>
    </row>
    <row r="85" spans="13:36" hidden="1" x14ac:dyDescent="0.2">
      <c r="M85" s="6">
        <v>149</v>
      </c>
      <c r="AF85" s="16"/>
      <c r="AG85" s="16"/>
      <c r="AH85" s="12" t="s">
        <v>405</v>
      </c>
      <c r="AI85" s="13"/>
      <c r="AJ85" s="16"/>
    </row>
    <row r="86" spans="13:36" hidden="1" x14ac:dyDescent="0.2">
      <c r="M86" s="6">
        <v>150</v>
      </c>
      <c r="AF86" s="16"/>
      <c r="AG86" s="16"/>
      <c r="AH86" s="12" t="s">
        <v>406</v>
      </c>
      <c r="AI86" s="13"/>
      <c r="AJ86" s="16"/>
    </row>
    <row r="87" spans="13:36" hidden="1" x14ac:dyDescent="0.2">
      <c r="M87" s="6">
        <v>151</v>
      </c>
      <c r="AF87" s="16"/>
      <c r="AG87" s="16"/>
      <c r="AH87" s="12" t="s">
        <v>407</v>
      </c>
      <c r="AI87" s="13"/>
      <c r="AJ87" s="16"/>
    </row>
    <row r="88" spans="13:36" hidden="1" x14ac:dyDescent="0.2">
      <c r="M88" s="6">
        <v>152</v>
      </c>
      <c r="AF88" s="16"/>
      <c r="AG88" s="16"/>
      <c r="AH88" s="12" t="s">
        <v>408</v>
      </c>
      <c r="AI88" s="13"/>
      <c r="AJ88" s="16"/>
    </row>
    <row r="89" spans="13:36" hidden="1" x14ac:dyDescent="0.2">
      <c r="M89" s="6">
        <v>153</v>
      </c>
      <c r="AF89" s="16"/>
      <c r="AG89" s="16"/>
      <c r="AH89" s="12" t="s">
        <v>409</v>
      </c>
      <c r="AI89" s="13"/>
      <c r="AJ89" s="16"/>
    </row>
    <row r="90" spans="13:36" hidden="1" x14ac:dyDescent="0.2">
      <c r="M90" s="6">
        <v>154</v>
      </c>
      <c r="AF90" s="16"/>
      <c r="AG90" s="16"/>
      <c r="AH90" s="12" t="s">
        <v>410</v>
      </c>
      <c r="AI90" s="13"/>
      <c r="AJ90" s="16"/>
    </row>
    <row r="91" spans="13:36" hidden="1" x14ac:dyDescent="0.2">
      <c r="M91" s="6">
        <v>155</v>
      </c>
      <c r="AF91" s="16"/>
      <c r="AG91" s="16"/>
      <c r="AH91" s="12" t="s">
        <v>411</v>
      </c>
      <c r="AI91" s="13"/>
      <c r="AJ91" s="16"/>
    </row>
    <row r="92" spans="13:36" hidden="1" x14ac:dyDescent="0.2">
      <c r="M92" s="6">
        <v>156</v>
      </c>
      <c r="AF92" s="16"/>
      <c r="AG92" s="16"/>
      <c r="AH92" s="12" t="s">
        <v>412</v>
      </c>
      <c r="AI92" s="13"/>
      <c r="AJ92" s="16"/>
    </row>
    <row r="93" spans="13:36" hidden="1" x14ac:dyDescent="0.2">
      <c r="M93" s="6">
        <v>157</v>
      </c>
      <c r="AF93" s="16"/>
      <c r="AG93" s="16"/>
      <c r="AH93" s="14" t="s">
        <v>413</v>
      </c>
      <c r="AI93" s="13"/>
      <c r="AJ93" s="16"/>
    </row>
    <row r="94" spans="13:36" hidden="1" x14ac:dyDescent="0.2">
      <c r="M94" s="6">
        <v>158</v>
      </c>
    </row>
    <row r="95" spans="13:36" hidden="1" x14ac:dyDescent="0.2">
      <c r="M95" s="6">
        <v>159</v>
      </c>
    </row>
    <row r="96" spans="13:36" hidden="1" x14ac:dyDescent="0.2">
      <c r="M96" s="6">
        <v>160</v>
      </c>
    </row>
    <row r="97" spans="13:13" hidden="1" x14ac:dyDescent="0.2">
      <c r="M97" s="6">
        <v>161</v>
      </c>
    </row>
    <row r="98" spans="13:13" hidden="1" x14ac:dyDescent="0.2">
      <c r="M98" s="6">
        <v>162</v>
      </c>
    </row>
    <row r="99" spans="13:13" hidden="1" x14ac:dyDescent="0.2">
      <c r="M99" s="6">
        <v>163</v>
      </c>
    </row>
    <row r="100" spans="13:13" hidden="1" x14ac:dyDescent="0.2">
      <c r="M100" s="6">
        <v>164</v>
      </c>
    </row>
    <row r="101" spans="13:13" hidden="1" x14ac:dyDescent="0.2">
      <c r="M101" s="6">
        <v>165</v>
      </c>
    </row>
    <row r="102" spans="13:13" hidden="1" x14ac:dyDescent="0.2">
      <c r="M102" s="6">
        <v>166</v>
      </c>
    </row>
    <row r="103" spans="13:13" hidden="1" x14ac:dyDescent="0.2">
      <c r="M103" s="6">
        <v>167</v>
      </c>
    </row>
    <row r="104" spans="13:13" hidden="1" x14ac:dyDescent="0.2">
      <c r="M104" s="6">
        <v>168</v>
      </c>
    </row>
    <row r="105" spans="13:13" hidden="1" x14ac:dyDescent="0.2">
      <c r="M105" s="6">
        <v>169</v>
      </c>
    </row>
    <row r="106" spans="13:13" hidden="1" x14ac:dyDescent="0.2">
      <c r="M106" s="6">
        <v>170</v>
      </c>
    </row>
    <row r="107" spans="13:13" hidden="1" x14ac:dyDescent="0.2">
      <c r="M107" s="6">
        <v>171</v>
      </c>
    </row>
    <row r="108" spans="13:13" hidden="1" x14ac:dyDescent="0.2">
      <c r="M108" s="6">
        <v>172</v>
      </c>
    </row>
    <row r="109" spans="13:13" hidden="1" x14ac:dyDescent="0.2">
      <c r="M109" s="6">
        <v>173</v>
      </c>
    </row>
    <row r="110" spans="13:13" hidden="1" x14ac:dyDescent="0.2">
      <c r="M110" s="6">
        <v>174</v>
      </c>
    </row>
    <row r="111" spans="13:13" hidden="1" x14ac:dyDescent="0.2">
      <c r="M111" s="6">
        <v>175</v>
      </c>
    </row>
    <row r="112" spans="13:13" hidden="1" x14ac:dyDescent="0.2">
      <c r="M112" s="6">
        <v>176</v>
      </c>
    </row>
    <row r="113" spans="13:13" hidden="1" x14ac:dyDescent="0.2">
      <c r="M113" s="6">
        <v>177</v>
      </c>
    </row>
    <row r="114" spans="13:13" hidden="1" x14ac:dyDescent="0.2">
      <c r="M114" s="6">
        <v>178</v>
      </c>
    </row>
    <row r="115" spans="13:13" hidden="1" x14ac:dyDescent="0.2">
      <c r="M115" s="6">
        <v>179</v>
      </c>
    </row>
    <row r="116" spans="13:13" hidden="1" x14ac:dyDescent="0.2">
      <c r="M116" s="6">
        <v>180</v>
      </c>
    </row>
    <row r="117" spans="13:13" hidden="1" x14ac:dyDescent="0.2">
      <c r="M117" s="6">
        <v>181</v>
      </c>
    </row>
    <row r="118" spans="13:13" hidden="1" x14ac:dyDescent="0.2">
      <c r="M118" s="6">
        <v>182</v>
      </c>
    </row>
    <row r="119" spans="13:13" hidden="1" x14ac:dyDescent="0.2">
      <c r="M119" s="6">
        <v>183</v>
      </c>
    </row>
    <row r="120" spans="13:13" hidden="1" x14ac:dyDescent="0.2">
      <c r="M120" s="6">
        <v>184</v>
      </c>
    </row>
    <row r="121" spans="13:13" hidden="1" x14ac:dyDescent="0.2">
      <c r="M121" s="6">
        <v>185</v>
      </c>
    </row>
    <row r="122" spans="13:13" hidden="1" x14ac:dyDescent="0.2">
      <c r="M122" s="6">
        <v>186</v>
      </c>
    </row>
    <row r="123" spans="13:13" hidden="1" x14ac:dyDescent="0.2">
      <c r="M123" s="6">
        <v>187</v>
      </c>
    </row>
    <row r="124" spans="13:13" hidden="1" x14ac:dyDescent="0.2">
      <c r="M124" s="6">
        <v>188</v>
      </c>
    </row>
    <row r="125" spans="13:13" hidden="1" x14ac:dyDescent="0.2">
      <c r="M125" s="6">
        <v>189</v>
      </c>
    </row>
    <row r="126" spans="13:13" hidden="1" x14ac:dyDescent="0.2">
      <c r="M126" s="6">
        <v>190</v>
      </c>
    </row>
    <row r="127" spans="13:13" hidden="1" x14ac:dyDescent="0.2">
      <c r="M127" s="6">
        <v>191</v>
      </c>
    </row>
    <row r="128" spans="13:13" hidden="1" x14ac:dyDescent="0.2">
      <c r="M128" s="6">
        <v>192</v>
      </c>
    </row>
    <row r="129" spans="13:13" hidden="1" x14ac:dyDescent="0.2">
      <c r="M129" s="6">
        <v>193</v>
      </c>
    </row>
    <row r="130" spans="13:13" hidden="1" x14ac:dyDescent="0.2">
      <c r="M130" s="6">
        <v>194</v>
      </c>
    </row>
    <row r="131" spans="13:13" hidden="1" x14ac:dyDescent="0.2">
      <c r="M131" s="6">
        <v>195</v>
      </c>
    </row>
    <row r="132" spans="13:13" hidden="1" x14ac:dyDescent="0.2">
      <c r="M132" s="6">
        <v>196</v>
      </c>
    </row>
    <row r="133" spans="13:13" hidden="1" x14ac:dyDescent="0.2">
      <c r="M133" s="6">
        <v>197</v>
      </c>
    </row>
    <row r="134" spans="13:13" hidden="1" x14ac:dyDescent="0.2">
      <c r="M134" s="6">
        <v>198</v>
      </c>
    </row>
    <row r="135" spans="13:13" hidden="1" x14ac:dyDescent="0.2">
      <c r="M135" s="6">
        <v>199</v>
      </c>
    </row>
    <row r="136" spans="13:13" hidden="1" x14ac:dyDescent="0.2">
      <c r="M136" s="6">
        <v>200</v>
      </c>
    </row>
    <row r="137" spans="13:13" hidden="1" x14ac:dyDescent="0.2">
      <c r="M137" s="6">
        <v>201</v>
      </c>
    </row>
    <row r="138" spans="13:13" hidden="1" x14ac:dyDescent="0.2">
      <c r="M138" s="6">
        <v>202</v>
      </c>
    </row>
    <row r="139" spans="13:13" hidden="1" x14ac:dyDescent="0.2">
      <c r="M139" s="6">
        <v>203</v>
      </c>
    </row>
    <row r="140" spans="13:13" hidden="1" x14ac:dyDescent="0.2">
      <c r="M140" s="6">
        <v>204</v>
      </c>
    </row>
    <row r="141" spans="13:13" hidden="1" x14ac:dyDescent="0.2">
      <c r="M141" s="6">
        <v>205</v>
      </c>
    </row>
    <row r="142" spans="13:13" hidden="1" x14ac:dyDescent="0.2">
      <c r="M142" s="6">
        <v>206</v>
      </c>
    </row>
    <row r="143" spans="13:13" hidden="1" x14ac:dyDescent="0.2">
      <c r="M143" s="6">
        <v>207</v>
      </c>
    </row>
    <row r="144" spans="13:13" hidden="1" x14ac:dyDescent="0.2">
      <c r="M144" s="6">
        <v>208</v>
      </c>
    </row>
    <row r="145" spans="13:13" hidden="1" x14ac:dyDescent="0.2">
      <c r="M145" s="6">
        <v>209</v>
      </c>
    </row>
    <row r="146" spans="13:13" hidden="1" x14ac:dyDescent="0.2">
      <c r="M146" s="6">
        <v>210</v>
      </c>
    </row>
    <row r="147" spans="13:13" hidden="1" x14ac:dyDescent="0.2">
      <c r="M147" s="6">
        <v>211</v>
      </c>
    </row>
    <row r="148" spans="13:13" hidden="1" x14ac:dyDescent="0.2">
      <c r="M148" s="6">
        <v>212</v>
      </c>
    </row>
    <row r="149" spans="13:13" hidden="1" x14ac:dyDescent="0.2">
      <c r="M149" s="6">
        <v>213</v>
      </c>
    </row>
    <row r="150" spans="13:13" hidden="1" x14ac:dyDescent="0.2">
      <c r="M150" s="6">
        <v>214</v>
      </c>
    </row>
    <row r="151" spans="13:13" hidden="1" x14ac:dyDescent="0.2">
      <c r="M151" s="6">
        <v>215</v>
      </c>
    </row>
    <row r="152" spans="13:13" hidden="1" x14ac:dyDescent="0.2">
      <c r="M152" s="6">
        <v>216</v>
      </c>
    </row>
    <row r="153" spans="13:13" hidden="1" x14ac:dyDescent="0.2">
      <c r="M153" s="6">
        <v>217</v>
      </c>
    </row>
    <row r="154" spans="13:13" hidden="1" x14ac:dyDescent="0.2">
      <c r="M154" s="6">
        <v>218</v>
      </c>
    </row>
    <row r="155" spans="13:13" hidden="1" x14ac:dyDescent="0.2">
      <c r="M155" s="6">
        <v>219</v>
      </c>
    </row>
    <row r="156" spans="13:13" hidden="1" x14ac:dyDescent="0.2">
      <c r="M156" s="6">
        <v>220</v>
      </c>
    </row>
    <row r="157" spans="13:13" hidden="1" x14ac:dyDescent="0.2">
      <c r="M157" s="6">
        <v>221</v>
      </c>
    </row>
    <row r="158" spans="13:13" hidden="1" x14ac:dyDescent="0.2">
      <c r="M158" s="6">
        <v>222</v>
      </c>
    </row>
    <row r="159" spans="13:13" hidden="1" x14ac:dyDescent="0.2">
      <c r="M159" s="6">
        <v>223</v>
      </c>
    </row>
    <row r="160" spans="13:13" hidden="1" x14ac:dyDescent="0.2">
      <c r="M160" s="6">
        <v>224</v>
      </c>
    </row>
    <row r="161" spans="13:13" hidden="1" x14ac:dyDescent="0.2">
      <c r="M161" s="6">
        <v>225</v>
      </c>
    </row>
    <row r="162" spans="13:13" hidden="1" x14ac:dyDescent="0.2">
      <c r="M162" s="6">
        <v>226</v>
      </c>
    </row>
    <row r="163" spans="13:13" hidden="1" x14ac:dyDescent="0.2">
      <c r="M163" s="6">
        <v>227</v>
      </c>
    </row>
    <row r="164" spans="13:13" hidden="1" x14ac:dyDescent="0.2">
      <c r="M164" s="6">
        <v>228</v>
      </c>
    </row>
    <row r="165" spans="13:13" hidden="1" x14ac:dyDescent="0.2">
      <c r="M165" s="6">
        <v>229</v>
      </c>
    </row>
    <row r="166" spans="13:13" hidden="1" x14ac:dyDescent="0.2">
      <c r="M166" s="6">
        <v>230</v>
      </c>
    </row>
    <row r="167" spans="13:13" hidden="1" x14ac:dyDescent="0.2">
      <c r="M167" s="6">
        <v>231</v>
      </c>
    </row>
    <row r="168" spans="13:13" hidden="1" x14ac:dyDescent="0.2">
      <c r="M168" s="6">
        <v>232</v>
      </c>
    </row>
    <row r="169" spans="13:13" hidden="1" x14ac:dyDescent="0.2">
      <c r="M169" s="6">
        <v>233</v>
      </c>
    </row>
    <row r="170" spans="13:13" hidden="1" x14ac:dyDescent="0.2">
      <c r="M170" s="6">
        <v>234</v>
      </c>
    </row>
    <row r="171" spans="13:13" hidden="1" x14ac:dyDescent="0.2">
      <c r="M171" s="6">
        <v>235</v>
      </c>
    </row>
    <row r="172" spans="13:13" hidden="1" x14ac:dyDescent="0.2">
      <c r="M172" s="6">
        <v>236</v>
      </c>
    </row>
    <row r="173" spans="13:13" hidden="1" x14ac:dyDescent="0.2">
      <c r="M173" s="6">
        <v>237</v>
      </c>
    </row>
    <row r="174" spans="13:13" hidden="1" x14ac:dyDescent="0.2">
      <c r="M174" s="6">
        <v>238</v>
      </c>
    </row>
    <row r="175" spans="13:13" hidden="1" x14ac:dyDescent="0.2">
      <c r="M175" s="6">
        <v>239</v>
      </c>
    </row>
    <row r="176" spans="13:13" hidden="1" x14ac:dyDescent="0.2">
      <c r="M176" s="6">
        <v>240</v>
      </c>
    </row>
    <row r="177" spans="13:13" hidden="1" x14ac:dyDescent="0.2">
      <c r="M177" s="6">
        <v>241</v>
      </c>
    </row>
    <row r="178" spans="13:13" hidden="1" x14ac:dyDescent="0.2">
      <c r="M178" s="6">
        <v>242</v>
      </c>
    </row>
    <row r="179" spans="13:13" hidden="1" x14ac:dyDescent="0.2">
      <c r="M179" s="6">
        <v>243</v>
      </c>
    </row>
    <row r="180" spans="13:13" hidden="1" x14ac:dyDescent="0.2">
      <c r="M180" s="6">
        <v>244</v>
      </c>
    </row>
    <row r="181" spans="13:13" hidden="1" x14ac:dyDescent="0.2">
      <c r="M181" s="6">
        <v>245</v>
      </c>
    </row>
    <row r="182" spans="13:13" hidden="1" x14ac:dyDescent="0.2">
      <c r="M182" s="6">
        <v>246</v>
      </c>
    </row>
    <row r="183" spans="13:13" hidden="1" x14ac:dyDescent="0.2">
      <c r="M183" s="6">
        <v>247</v>
      </c>
    </row>
    <row r="184" spans="13:13" hidden="1" x14ac:dyDescent="0.2">
      <c r="M184" s="6">
        <v>248</v>
      </c>
    </row>
    <row r="185" spans="13:13" hidden="1" x14ac:dyDescent="0.2">
      <c r="M185" s="6">
        <v>249</v>
      </c>
    </row>
    <row r="186" spans="13:13" hidden="1" x14ac:dyDescent="0.2">
      <c r="M186" s="6">
        <v>250</v>
      </c>
    </row>
    <row r="187" spans="13:13" hidden="1" x14ac:dyDescent="0.2">
      <c r="M187" s="6">
        <v>251</v>
      </c>
    </row>
    <row r="188" spans="13:13" hidden="1" x14ac:dyDescent="0.2">
      <c r="M188" s="6">
        <v>252</v>
      </c>
    </row>
    <row r="189" spans="13:13" hidden="1" x14ac:dyDescent="0.2">
      <c r="M189" s="6">
        <v>253</v>
      </c>
    </row>
    <row r="190" spans="13:13" hidden="1" x14ac:dyDescent="0.2">
      <c r="M190" s="6">
        <v>254</v>
      </c>
    </row>
    <row r="191" spans="13:13" hidden="1" x14ac:dyDescent="0.2">
      <c r="M191" s="6">
        <v>255</v>
      </c>
    </row>
    <row r="192" spans="13:13" hidden="1" x14ac:dyDescent="0.2">
      <c r="M192" s="6">
        <v>256</v>
      </c>
    </row>
    <row r="193" spans="13:13" hidden="1" x14ac:dyDescent="0.2">
      <c r="M193" s="6">
        <v>257</v>
      </c>
    </row>
    <row r="194" spans="13:13" hidden="1" x14ac:dyDescent="0.2">
      <c r="M194" s="6">
        <v>258</v>
      </c>
    </row>
    <row r="195" spans="13:13" hidden="1" x14ac:dyDescent="0.2">
      <c r="M195" s="6">
        <v>259</v>
      </c>
    </row>
    <row r="196" spans="13:13" hidden="1" x14ac:dyDescent="0.2">
      <c r="M196" s="6">
        <v>260</v>
      </c>
    </row>
    <row r="197" spans="13:13" hidden="1" x14ac:dyDescent="0.2">
      <c r="M197" s="6">
        <v>261</v>
      </c>
    </row>
    <row r="198" spans="13:13" hidden="1" x14ac:dyDescent="0.2">
      <c r="M198" s="6">
        <v>262</v>
      </c>
    </row>
    <row r="199" spans="13:13" hidden="1" x14ac:dyDescent="0.2">
      <c r="M199" s="6">
        <v>263</v>
      </c>
    </row>
    <row r="200" spans="13:13" hidden="1" x14ac:dyDescent="0.2">
      <c r="M200" s="6">
        <v>264</v>
      </c>
    </row>
    <row r="201" spans="13:13" hidden="1" x14ac:dyDescent="0.2">
      <c r="M201" s="6">
        <v>265</v>
      </c>
    </row>
    <row r="202" spans="13:13" hidden="1" x14ac:dyDescent="0.2">
      <c r="M202" s="6">
        <v>266</v>
      </c>
    </row>
    <row r="203" spans="13:13" hidden="1" x14ac:dyDescent="0.2">
      <c r="M203" s="6">
        <v>267</v>
      </c>
    </row>
    <row r="204" spans="13:13" hidden="1" x14ac:dyDescent="0.2">
      <c r="M204" s="6">
        <v>268</v>
      </c>
    </row>
    <row r="205" spans="13:13" hidden="1" x14ac:dyDescent="0.2">
      <c r="M205" s="6">
        <v>269</v>
      </c>
    </row>
    <row r="206" spans="13:13" hidden="1" x14ac:dyDescent="0.2">
      <c r="M206" s="6">
        <v>270</v>
      </c>
    </row>
    <row r="207" spans="13:13" hidden="1" x14ac:dyDescent="0.2">
      <c r="M207" s="6">
        <v>271</v>
      </c>
    </row>
    <row r="208" spans="13:13" hidden="1" x14ac:dyDescent="0.2">
      <c r="M208" s="6">
        <v>272</v>
      </c>
    </row>
    <row r="209" spans="13:13" hidden="1" x14ac:dyDescent="0.2">
      <c r="M209" s="6">
        <v>273</v>
      </c>
    </row>
    <row r="210" spans="13:13" hidden="1" x14ac:dyDescent="0.2">
      <c r="M210" s="6">
        <v>274</v>
      </c>
    </row>
    <row r="211" spans="13:13" hidden="1" x14ac:dyDescent="0.2">
      <c r="M211" s="6">
        <v>275</v>
      </c>
    </row>
    <row r="212" spans="13:13" hidden="1" x14ac:dyDescent="0.2">
      <c r="M212" s="6">
        <v>276</v>
      </c>
    </row>
    <row r="213" spans="13:13" hidden="1" x14ac:dyDescent="0.2">
      <c r="M213" s="6">
        <v>277</v>
      </c>
    </row>
    <row r="214" spans="13:13" hidden="1" x14ac:dyDescent="0.2">
      <c r="M214" s="6">
        <v>278</v>
      </c>
    </row>
    <row r="215" spans="13:13" hidden="1" x14ac:dyDescent="0.2">
      <c r="M215" s="6">
        <v>279</v>
      </c>
    </row>
    <row r="216" spans="13:13" hidden="1" x14ac:dyDescent="0.2">
      <c r="M216" s="6">
        <v>280</v>
      </c>
    </row>
    <row r="217" spans="13:13" hidden="1" x14ac:dyDescent="0.2">
      <c r="M217" s="6">
        <v>281</v>
      </c>
    </row>
    <row r="218" spans="13:13" hidden="1" x14ac:dyDescent="0.2">
      <c r="M218" s="6">
        <v>282</v>
      </c>
    </row>
    <row r="219" spans="13:13" hidden="1" x14ac:dyDescent="0.2">
      <c r="M219" s="6">
        <v>283</v>
      </c>
    </row>
    <row r="220" spans="13:13" hidden="1" x14ac:dyDescent="0.2">
      <c r="M220" s="6">
        <v>284</v>
      </c>
    </row>
    <row r="221" spans="13:13" hidden="1" x14ac:dyDescent="0.2">
      <c r="M221" s="6">
        <v>285</v>
      </c>
    </row>
    <row r="222" spans="13:13" hidden="1" x14ac:dyDescent="0.2">
      <c r="M222" s="6">
        <v>286</v>
      </c>
    </row>
    <row r="223" spans="13:13" hidden="1" x14ac:dyDescent="0.2">
      <c r="M223" s="6">
        <v>287</v>
      </c>
    </row>
    <row r="224" spans="13:13" hidden="1" x14ac:dyDescent="0.2">
      <c r="M224" s="6">
        <v>288</v>
      </c>
    </row>
    <row r="225" spans="13:13" hidden="1" x14ac:dyDescent="0.2">
      <c r="M225" s="6">
        <v>289</v>
      </c>
    </row>
    <row r="226" spans="13:13" hidden="1" x14ac:dyDescent="0.2">
      <c r="M226" s="6">
        <v>290</v>
      </c>
    </row>
    <row r="227" spans="13:13" hidden="1" x14ac:dyDescent="0.2">
      <c r="M227" s="6">
        <v>291</v>
      </c>
    </row>
    <row r="228" spans="13:13" hidden="1" x14ac:dyDescent="0.2">
      <c r="M228" s="6">
        <v>292</v>
      </c>
    </row>
    <row r="229" spans="13:13" hidden="1" x14ac:dyDescent="0.2">
      <c r="M229" s="6">
        <v>293</v>
      </c>
    </row>
    <row r="230" spans="13:13" hidden="1" x14ac:dyDescent="0.2">
      <c r="M230" s="6">
        <v>294</v>
      </c>
    </row>
    <row r="231" spans="13:13" hidden="1" x14ac:dyDescent="0.2">
      <c r="M231" s="6">
        <v>295</v>
      </c>
    </row>
    <row r="232" spans="13:13" hidden="1" x14ac:dyDescent="0.2">
      <c r="M232" s="6">
        <v>296</v>
      </c>
    </row>
    <row r="233" spans="13:13" hidden="1" x14ac:dyDescent="0.2">
      <c r="M233" s="6">
        <v>297</v>
      </c>
    </row>
    <row r="234" spans="13:13" hidden="1" x14ac:dyDescent="0.2">
      <c r="M234" s="6">
        <v>298</v>
      </c>
    </row>
    <row r="235" spans="13:13" hidden="1" x14ac:dyDescent="0.2">
      <c r="M235" s="6">
        <v>299</v>
      </c>
    </row>
    <row r="236" spans="13:13" hidden="1" x14ac:dyDescent="0.2">
      <c r="M236" s="6">
        <v>300</v>
      </c>
    </row>
    <row r="237" spans="13:13" hidden="1" x14ac:dyDescent="0.2">
      <c r="M237" s="6">
        <v>301</v>
      </c>
    </row>
    <row r="238" spans="13:13" hidden="1" x14ac:dyDescent="0.2">
      <c r="M238" s="6">
        <v>302</v>
      </c>
    </row>
    <row r="239" spans="13:13" hidden="1" x14ac:dyDescent="0.2">
      <c r="M239" s="6">
        <v>303</v>
      </c>
    </row>
    <row r="240" spans="13:13" hidden="1" x14ac:dyDescent="0.2">
      <c r="M240" s="6">
        <v>304</v>
      </c>
    </row>
    <row r="241" spans="13:13" hidden="1" x14ac:dyDescent="0.2">
      <c r="M241" s="6">
        <v>305</v>
      </c>
    </row>
    <row r="242" spans="13:13" hidden="1" x14ac:dyDescent="0.2">
      <c r="M242" s="6">
        <v>306</v>
      </c>
    </row>
    <row r="243" spans="13:13" hidden="1" x14ac:dyDescent="0.2">
      <c r="M243" s="6">
        <v>307</v>
      </c>
    </row>
    <row r="244" spans="13:13" hidden="1" x14ac:dyDescent="0.2">
      <c r="M244" s="6">
        <v>308</v>
      </c>
    </row>
    <row r="245" spans="13:13" hidden="1" x14ac:dyDescent="0.2">
      <c r="M245" s="6">
        <v>309</v>
      </c>
    </row>
    <row r="246" spans="13:13" hidden="1" x14ac:dyDescent="0.2">
      <c r="M246" s="6">
        <v>310</v>
      </c>
    </row>
    <row r="247" spans="13:13" hidden="1" x14ac:dyDescent="0.2">
      <c r="M247" s="6">
        <v>311</v>
      </c>
    </row>
    <row r="248" spans="13:13" hidden="1" x14ac:dyDescent="0.2">
      <c r="M248" s="6">
        <v>312</v>
      </c>
    </row>
    <row r="249" spans="13:13" hidden="1" x14ac:dyDescent="0.2">
      <c r="M249" s="6">
        <v>313</v>
      </c>
    </row>
    <row r="250" spans="13:13" hidden="1" x14ac:dyDescent="0.2">
      <c r="M250" s="6">
        <v>314</v>
      </c>
    </row>
    <row r="251" spans="13:13" hidden="1" x14ac:dyDescent="0.2">
      <c r="M251" s="6">
        <v>315</v>
      </c>
    </row>
    <row r="252" spans="13:13" hidden="1" x14ac:dyDescent="0.2">
      <c r="M252" s="6">
        <v>316</v>
      </c>
    </row>
    <row r="253" spans="13:13" hidden="1" x14ac:dyDescent="0.2">
      <c r="M253" s="6">
        <v>317</v>
      </c>
    </row>
    <row r="254" spans="13:13" hidden="1" x14ac:dyDescent="0.2">
      <c r="M254" s="6">
        <v>318</v>
      </c>
    </row>
    <row r="255" spans="13:13" hidden="1" x14ac:dyDescent="0.2">
      <c r="M255" s="6">
        <v>319</v>
      </c>
    </row>
    <row r="256" spans="13:13" hidden="1" x14ac:dyDescent="0.2">
      <c r="M256" s="6">
        <v>320</v>
      </c>
    </row>
    <row r="257" spans="13:13" hidden="1" x14ac:dyDescent="0.2">
      <c r="M257" s="6">
        <v>321</v>
      </c>
    </row>
    <row r="258" spans="13:13" hidden="1" x14ac:dyDescent="0.2">
      <c r="M258" s="6">
        <v>322</v>
      </c>
    </row>
    <row r="259" spans="13:13" hidden="1" x14ac:dyDescent="0.2">
      <c r="M259" s="6">
        <v>323</v>
      </c>
    </row>
    <row r="260" spans="13:13" hidden="1" x14ac:dyDescent="0.2">
      <c r="M260" s="6">
        <v>324</v>
      </c>
    </row>
    <row r="261" spans="13:13" hidden="1" x14ac:dyDescent="0.2">
      <c r="M261" s="6">
        <v>325</v>
      </c>
    </row>
    <row r="262" spans="13:13" hidden="1" x14ac:dyDescent="0.2">
      <c r="M262" s="6">
        <v>326</v>
      </c>
    </row>
    <row r="263" spans="13:13" hidden="1" x14ac:dyDescent="0.2">
      <c r="M263" s="6">
        <v>327</v>
      </c>
    </row>
    <row r="264" spans="13:13" hidden="1" x14ac:dyDescent="0.2">
      <c r="M264" s="6">
        <v>328</v>
      </c>
    </row>
    <row r="265" spans="13:13" hidden="1" x14ac:dyDescent="0.2">
      <c r="M265" s="6">
        <v>329</v>
      </c>
    </row>
    <row r="266" spans="13:13" hidden="1" x14ac:dyDescent="0.2">
      <c r="M266" s="6">
        <v>330</v>
      </c>
    </row>
    <row r="267" spans="13:13" hidden="1" x14ac:dyDescent="0.2">
      <c r="M267" s="6">
        <v>331</v>
      </c>
    </row>
    <row r="268" spans="13:13" hidden="1" x14ac:dyDescent="0.2">
      <c r="M268" s="6">
        <v>332</v>
      </c>
    </row>
    <row r="269" spans="13:13" hidden="1" x14ac:dyDescent="0.2">
      <c r="M269" s="6">
        <v>333</v>
      </c>
    </row>
    <row r="270" spans="13:13" hidden="1" x14ac:dyDescent="0.2">
      <c r="M270" s="6">
        <v>334</v>
      </c>
    </row>
    <row r="271" spans="13:13" hidden="1" x14ac:dyDescent="0.2">
      <c r="M271" s="6">
        <v>335</v>
      </c>
    </row>
    <row r="272" spans="13:13" hidden="1" x14ac:dyDescent="0.2">
      <c r="M272" s="6">
        <v>336</v>
      </c>
    </row>
    <row r="273" spans="13:13" hidden="1" x14ac:dyDescent="0.2">
      <c r="M273" s="6">
        <v>337</v>
      </c>
    </row>
    <row r="274" spans="13:13" hidden="1" x14ac:dyDescent="0.2">
      <c r="M274" s="6">
        <v>338</v>
      </c>
    </row>
    <row r="275" spans="13:13" hidden="1" x14ac:dyDescent="0.2">
      <c r="M275" s="6">
        <v>339</v>
      </c>
    </row>
    <row r="276" spans="13:13" hidden="1" x14ac:dyDescent="0.2">
      <c r="M276" s="6">
        <v>340</v>
      </c>
    </row>
    <row r="277" spans="13:13" hidden="1" x14ac:dyDescent="0.2">
      <c r="M277" s="6">
        <v>341</v>
      </c>
    </row>
    <row r="278" spans="13:13" hidden="1" x14ac:dyDescent="0.2">
      <c r="M278" s="6">
        <v>342</v>
      </c>
    </row>
    <row r="279" spans="13:13" hidden="1" x14ac:dyDescent="0.2">
      <c r="M279" s="6">
        <v>343</v>
      </c>
    </row>
    <row r="280" spans="13:13" hidden="1" x14ac:dyDescent="0.2">
      <c r="M280" s="6">
        <v>344</v>
      </c>
    </row>
    <row r="281" spans="13:13" hidden="1" x14ac:dyDescent="0.2">
      <c r="M281" s="6">
        <v>345</v>
      </c>
    </row>
    <row r="282" spans="13:13" hidden="1" x14ac:dyDescent="0.2">
      <c r="M282" s="6">
        <v>346</v>
      </c>
    </row>
    <row r="283" spans="13:13" hidden="1" x14ac:dyDescent="0.2">
      <c r="M283" s="6">
        <v>347</v>
      </c>
    </row>
    <row r="284" spans="13:13" hidden="1" x14ac:dyDescent="0.2">
      <c r="M284" s="6">
        <v>348</v>
      </c>
    </row>
    <row r="285" spans="13:13" hidden="1" x14ac:dyDescent="0.2">
      <c r="M285" s="6">
        <v>349</v>
      </c>
    </row>
    <row r="286" spans="13:13" hidden="1" x14ac:dyDescent="0.2">
      <c r="M286" s="6">
        <v>350</v>
      </c>
    </row>
    <row r="287" spans="13:13" hidden="1" x14ac:dyDescent="0.2">
      <c r="M287" s="6">
        <v>351</v>
      </c>
    </row>
    <row r="288" spans="13:13" hidden="1" x14ac:dyDescent="0.2">
      <c r="M288" s="6">
        <v>352</v>
      </c>
    </row>
    <row r="289" spans="13:13" hidden="1" x14ac:dyDescent="0.2">
      <c r="M289" s="6">
        <v>353</v>
      </c>
    </row>
    <row r="290" spans="13:13" hidden="1" x14ac:dyDescent="0.2">
      <c r="M290" s="6">
        <v>354</v>
      </c>
    </row>
    <row r="291" spans="13:13" hidden="1" x14ac:dyDescent="0.2">
      <c r="M291" s="6">
        <v>355</v>
      </c>
    </row>
    <row r="292" spans="13:13" hidden="1" x14ac:dyDescent="0.2">
      <c r="M292" s="6">
        <v>356</v>
      </c>
    </row>
    <row r="293" spans="13:13" hidden="1" x14ac:dyDescent="0.2">
      <c r="M293" s="6">
        <v>357</v>
      </c>
    </row>
    <row r="294" spans="13:13" hidden="1" x14ac:dyDescent="0.2">
      <c r="M294" s="6">
        <v>358</v>
      </c>
    </row>
    <row r="295" spans="13:13" hidden="1" x14ac:dyDescent="0.2">
      <c r="M295" s="6">
        <v>359</v>
      </c>
    </row>
    <row r="296" spans="13:13" hidden="1" x14ac:dyDescent="0.2">
      <c r="M296" s="6">
        <v>360</v>
      </c>
    </row>
    <row r="297" spans="13:13" hidden="1" x14ac:dyDescent="0.2">
      <c r="M297" s="6">
        <v>361</v>
      </c>
    </row>
    <row r="298" spans="13:13" hidden="1" x14ac:dyDescent="0.2">
      <c r="M298" s="6">
        <v>362</v>
      </c>
    </row>
    <row r="299" spans="13:13" hidden="1" x14ac:dyDescent="0.2">
      <c r="M299" s="6">
        <v>363</v>
      </c>
    </row>
    <row r="300" spans="13:13" hidden="1" x14ac:dyDescent="0.2">
      <c r="M300" s="6">
        <v>364</v>
      </c>
    </row>
    <row r="301" spans="13:13" hidden="1" x14ac:dyDescent="0.2">
      <c r="M301" s="6">
        <v>365</v>
      </c>
    </row>
    <row r="302" spans="13:13" hidden="1" x14ac:dyDescent="0.2">
      <c r="M302" s="6">
        <v>366</v>
      </c>
    </row>
    <row r="303" spans="13:13" hidden="1" x14ac:dyDescent="0.2">
      <c r="M303" s="6">
        <v>367</v>
      </c>
    </row>
    <row r="304" spans="13:13" hidden="1" x14ac:dyDescent="0.2">
      <c r="M304" s="6">
        <v>368</v>
      </c>
    </row>
    <row r="305" spans="13:13" hidden="1" x14ac:dyDescent="0.2">
      <c r="M305" s="6">
        <v>369</v>
      </c>
    </row>
    <row r="306" spans="13:13" hidden="1" x14ac:dyDescent="0.2">
      <c r="M306" s="6">
        <v>370</v>
      </c>
    </row>
    <row r="307" spans="13:13" hidden="1" x14ac:dyDescent="0.2">
      <c r="M307" s="6">
        <v>371</v>
      </c>
    </row>
    <row r="308" spans="13:13" hidden="1" x14ac:dyDescent="0.2">
      <c r="M308" s="6">
        <v>372</v>
      </c>
    </row>
    <row r="309" spans="13:13" hidden="1" x14ac:dyDescent="0.2">
      <c r="M309" s="6">
        <v>373</v>
      </c>
    </row>
    <row r="310" spans="13:13" hidden="1" x14ac:dyDescent="0.2">
      <c r="M310" s="6">
        <v>374</v>
      </c>
    </row>
    <row r="311" spans="13:13" hidden="1" x14ac:dyDescent="0.2">
      <c r="M311" s="6">
        <v>375</v>
      </c>
    </row>
    <row r="312" spans="13:13" hidden="1" x14ac:dyDescent="0.2">
      <c r="M312" s="6">
        <v>376</v>
      </c>
    </row>
    <row r="313" spans="13:13" hidden="1" x14ac:dyDescent="0.2">
      <c r="M313" s="6">
        <v>377</v>
      </c>
    </row>
    <row r="314" spans="13:13" hidden="1" x14ac:dyDescent="0.2">
      <c r="M314" s="6">
        <v>378</v>
      </c>
    </row>
    <row r="315" spans="13:13" hidden="1" x14ac:dyDescent="0.2">
      <c r="M315" s="6">
        <v>379</v>
      </c>
    </row>
    <row r="316" spans="13:13" hidden="1" x14ac:dyDescent="0.2">
      <c r="M316" s="6">
        <v>380</v>
      </c>
    </row>
    <row r="317" spans="13:13" hidden="1" x14ac:dyDescent="0.2">
      <c r="M317" s="6">
        <v>381</v>
      </c>
    </row>
    <row r="318" spans="13:13" hidden="1" x14ac:dyDescent="0.2">
      <c r="M318" s="6">
        <v>382</v>
      </c>
    </row>
    <row r="319" spans="13:13" hidden="1" x14ac:dyDescent="0.2">
      <c r="M319" s="6">
        <v>383</v>
      </c>
    </row>
    <row r="320" spans="13:13" hidden="1" x14ac:dyDescent="0.2">
      <c r="M320" s="6">
        <v>384</v>
      </c>
    </row>
    <row r="321" spans="13:13" hidden="1" x14ac:dyDescent="0.2">
      <c r="M321" s="6">
        <v>385</v>
      </c>
    </row>
    <row r="322" spans="13:13" hidden="1" x14ac:dyDescent="0.2">
      <c r="M322" s="6">
        <v>386</v>
      </c>
    </row>
    <row r="323" spans="13:13" hidden="1" x14ac:dyDescent="0.2">
      <c r="M323" s="6">
        <v>387</v>
      </c>
    </row>
    <row r="324" spans="13:13" hidden="1" x14ac:dyDescent="0.2">
      <c r="M324" s="6">
        <v>388</v>
      </c>
    </row>
    <row r="325" spans="13:13" hidden="1" x14ac:dyDescent="0.2">
      <c r="M325" s="6">
        <v>389</v>
      </c>
    </row>
    <row r="326" spans="13:13" hidden="1" x14ac:dyDescent="0.2">
      <c r="M326" s="6">
        <v>390</v>
      </c>
    </row>
    <row r="327" spans="13:13" hidden="1" x14ac:dyDescent="0.2">
      <c r="M327" s="6">
        <v>391</v>
      </c>
    </row>
    <row r="328" spans="13:13" hidden="1" x14ac:dyDescent="0.2">
      <c r="M328" s="6">
        <v>392</v>
      </c>
    </row>
    <row r="329" spans="13:13" hidden="1" x14ac:dyDescent="0.2">
      <c r="M329" s="6">
        <v>393</v>
      </c>
    </row>
    <row r="330" spans="13:13" hidden="1" x14ac:dyDescent="0.2">
      <c r="M330" s="6">
        <v>394</v>
      </c>
    </row>
    <row r="331" spans="13:13" hidden="1" x14ac:dyDescent="0.2">
      <c r="M331" s="6">
        <v>395</v>
      </c>
    </row>
    <row r="332" spans="13:13" hidden="1" x14ac:dyDescent="0.2">
      <c r="M332" s="6">
        <v>396</v>
      </c>
    </row>
    <row r="333" spans="13:13" hidden="1" x14ac:dyDescent="0.2">
      <c r="M333" s="6">
        <v>397</v>
      </c>
    </row>
    <row r="334" spans="13:13" hidden="1" x14ac:dyDescent="0.2">
      <c r="M334" s="6">
        <v>398</v>
      </c>
    </row>
    <row r="335" spans="13:13" hidden="1" x14ac:dyDescent="0.2">
      <c r="M335" s="6">
        <v>399</v>
      </c>
    </row>
    <row r="336" spans="13:13" hidden="1" x14ac:dyDescent="0.2">
      <c r="M336" s="6">
        <v>400</v>
      </c>
    </row>
    <row r="337" spans="13:13" hidden="1" x14ac:dyDescent="0.2">
      <c r="M337" s="6">
        <v>401</v>
      </c>
    </row>
    <row r="338" spans="13:13" hidden="1" x14ac:dyDescent="0.2">
      <c r="M338" s="6">
        <v>402</v>
      </c>
    </row>
    <row r="339" spans="13:13" hidden="1" x14ac:dyDescent="0.2">
      <c r="M339" s="6">
        <v>403</v>
      </c>
    </row>
    <row r="340" spans="13:13" hidden="1" x14ac:dyDescent="0.2">
      <c r="M340" s="6">
        <v>404</v>
      </c>
    </row>
    <row r="341" spans="13:13" hidden="1" x14ac:dyDescent="0.2">
      <c r="M341" s="6">
        <v>405</v>
      </c>
    </row>
    <row r="342" spans="13:13" hidden="1" x14ac:dyDescent="0.2">
      <c r="M342" s="6">
        <v>406</v>
      </c>
    </row>
    <row r="343" spans="13:13" hidden="1" x14ac:dyDescent="0.2">
      <c r="M343" s="6">
        <v>407</v>
      </c>
    </row>
    <row r="344" spans="13:13" hidden="1" x14ac:dyDescent="0.2">
      <c r="M344" s="6">
        <v>408</v>
      </c>
    </row>
    <row r="345" spans="13:13" hidden="1" x14ac:dyDescent="0.2">
      <c r="M345" s="6">
        <v>409</v>
      </c>
    </row>
    <row r="346" spans="13:13" hidden="1" x14ac:dyDescent="0.2">
      <c r="M346" s="6">
        <v>410</v>
      </c>
    </row>
    <row r="347" spans="13:13" hidden="1" x14ac:dyDescent="0.2">
      <c r="M347" s="6">
        <v>411</v>
      </c>
    </row>
    <row r="348" spans="13:13" hidden="1" x14ac:dyDescent="0.2">
      <c r="M348" s="6">
        <v>412</v>
      </c>
    </row>
    <row r="349" spans="13:13" hidden="1" x14ac:dyDescent="0.2">
      <c r="M349" s="6">
        <v>413</v>
      </c>
    </row>
    <row r="350" spans="13:13" hidden="1" x14ac:dyDescent="0.2">
      <c r="M350" s="6">
        <v>414</v>
      </c>
    </row>
    <row r="351" spans="13:13" hidden="1" x14ac:dyDescent="0.2">
      <c r="M351" s="6">
        <v>415</v>
      </c>
    </row>
    <row r="352" spans="13:13" hidden="1" x14ac:dyDescent="0.2">
      <c r="M352" s="6">
        <v>416</v>
      </c>
    </row>
    <row r="353" spans="13:13" hidden="1" x14ac:dyDescent="0.2">
      <c r="M353" s="6">
        <v>417</v>
      </c>
    </row>
    <row r="354" spans="13:13" hidden="1" x14ac:dyDescent="0.2"/>
  </sheetData>
  <mergeCells count="69">
    <mergeCell ref="A34:B34"/>
    <mergeCell ref="A35:B35"/>
    <mergeCell ref="A14:C16"/>
    <mergeCell ref="A13:C13"/>
    <mergeCell ref="A33:D33"/>
    <mergeCell ref="D18:F18"/>
    <mergeCell ref="B18:C18"/>
    <mergeCell ref="B19:C19"/>
    <mergeCell ref="B20:C20"/>
    <mergeCell ref="B21:C21"/>
    <mergeCell ref="B22:C22"/>
    <mergeCell ref="B25:C25"/>
    <mergeCell ref="B26:C26"/>
    <mergeCell ref="B27:C27"/>
    <mergeCell ref="B28:C28"/>
    <mergeCell ref="E12:F12"/>
    <mergeCell ref="B29:C29"/>
    <mergeCell ref="B31:C31"/>
    <mergeCell ref="F32:F33"/>
    <mergeCell ref="G27:J27"/>
    <mergeCell ref="B32:D32"/>
    <mergeCell ref="E32:E33"/>
    <mergeCell ref="B30:C30"/>
    <mergeCell ref="G15:J15"/>
    <mergeCell ref="H14:J14"/>
    <mergeCell ref="G13:J13"/>
    <mergeCell ref="A23:D23"/>
    <mergeCell ref="E23:F23"/>
    <mergeCell ref="B10:C10"/>
    <mergeCell ref="B11:C11"/>
    <mergeCell ref="B12:C12"/>
    <mergeCell ref="A1:J1"/>
    <mergeCell ref="B3:C3"/>
    <mergeCell ref="B4:C4"/>
    <mergeCell ref="B5:C5"/>
    <mergeCell ref="B6:C6"/>
    <mergeCell ref="D2:J2"/>
    <mergeCell ref="H9:J9"/>
    <mergeCell ref="H10:J12"/>
    <mergeCell ref="A9:G9"/>
    <mergeCell ref="G11:G12"/>
    <mergeCell ref="E8:F8"/>
    <mergeCell ref="E10:F10"/>
    <mergeCell ref="E11:F11"/>
    <mergeCell ref="E7:F7"/>
    <mergeCell ref="A2:C2"/>
    <mergeCell ref="A38:F38"/>
    <mergeCell ref="B24:C24"/>
    <mergeCell ref="E28:F28"/>
    <mergeCell ref="E29:E30"/>
    <mergeCell ref="F29:F30"/>
    <mergeCell ref="A17:F17"/>
    <mergeCell ref="D14:F16"/>
    <mergeCell ref="D13:F13"/>
    <mergeCell ref="E3:F3"/>
    <mergeCell ref="E4:F4"/>
    <mergeCell ref="E5:F5"/>
    <mergeCell ref="E6:F6"/>
    <mergeCell ref="B7:C7"/>
    <mergeCell ref="B8:C8"/>
    <mergeCell ref="G39:J42"/>
    <mergeCell ref="F35:F36"/>
    <mergeCell ref="E35:E36"/>
    <mergeCell ref="G37:I37"/>
    <mergeCell ref="G34:G36"/>
    <mergeCell ref="H34:H36"/>
    <mergeCell ref="J34:J36"/>
    <mergeCell ref="I34:I36"/>
    <mergeCell ref="G38:J38"/>
  </mergeCells>
  <phoneticPr fontId="7" type="noConversion"/>
  <conditionalFormatting sqref="A20:B22">
    <cfRule type="expression" dxfId="5" priority="12">
      <formula>$E$5="Jamb Bracket"</formula>
    </cfRule>
  </conditionalFormatting>
  <conditionalFormatting sqref="D18 D19:F22">
    <cfRule type="expression" dxfId="4" priority="2">
      <formula>$N$7="No"</formula>
    </cfRule>
  </conditionalFormatting>
  <conditionalFormatting sqref="G17:G25 F24:F26 B25:D32 I28:I30 E29:E36 I32 A34:A35 D34:D37 B36:B37 A39 C39 E39:E40">
    <cfRule type="containsBlanks" dxfId="3" priority="1">
      <formula>LEN(TRIM(A17))=0</formula>
    </cfRule>
  </conditionalFormatting>
  <conditionalFormatting sqref="G13:J14">
    <cfRule type="expression" dxfId="2" priority="13">
      <formula>$G$14="Yes"</formula>
    </cfRule>
    <cfRule type="expression" dxfId="1" priority="14">
      <formula>$G$14="No"</formula>
    </cfRule>
  </conditionalFormatting>
  <dataValidations count="17">
    <dataValidation type="list" allowBlank="1" showInputMessage="1" showErrorMessage="1" sqref="B22" xr:uid="{B822A042-2490-4273-A678-FD6A0774111F}">
      <formula1>$AD$1:$AD$6</formula1>
    </dataValidation>
    <dataValidation type="list" allowBlank="1" showInputMessage="1" showErrorMessage="1" sqref="B26 D26" xr:uid="{EE93A319-0B8C-4BBF-840A-3756417F2D77}">
      <formula1>$AG$10:$AG$13</formula1>
    </dataValidation>
    <dataValidation type="list" allowBlank="1" showInputMessage="1" showErrorMessage="1" sqref="B30 D30" xr:uid="{686BDC22-681F-46E3-80A5-818865D1DBC2}">
      <formula1>$AH$10:$AH$93</formula1>
    </dataValidation>
    <dataValidation type="list" allowBlank="1" showInputMessage="1" showErrorMessage="1" sqref="B25 D25" xr:uid="{4E1A72CE-45DD-41A2-8137-8D46978C39D1}">
      <formula1>$AF$10:$AF$28</formula1>
    </dataValidation>
    <dataValidation type="list" allowBlank="1" showInputMessage="1" showErrorMessage="1" sqref="B32:D32" xr:uid="{30D9F694-D5C1-4A8F-90D6-608C9F7C8C48}">
      <formula1>$AJ$10:$AJ$14</formula1>
    </dataValidation>
    <dataValidation type="list" allowBlank="1" showInputMessage="1" showErrorMessage="1" sqref="A34:A35" xr:uid="{2316D70F-2F06-490C-A571-A0585015AEA2}">
      <formula1>$AD$9:$AD$14</formula1>
    </dataValidation>
    <dataValidation type="list" allowBlank="1" showInputMessage="1" showErrorMessage="1" sqref="B29 D29" xr:uid="{6271962A-250F-4478-AE46-0D2ECF7B4B51}">
      <formula1>$AI$10:$AI$33</formula1>
    </dataValidation>
    <dataValidation type="list" allowBlank="1" showInputMessage="1" showErrorMessage="1" sqref="B36" xr:uid="{8BE8DE75-0205-4C2F-917B-2F168002A17F}">
      <formula1>$Q$38:$Q$46</formula1>
    </dataValidation>
    <dataValidation type="list" allowBlank="1" showInputMessage="1" showErrorMessage="1" sqref="D36" xr:uid="{96C6547B-DE1B-40C5-87F9-F5C68B3AF690}">
      <formula1>$S$38:$S$47</formula1>
    </dataValidation>
    <dataValidation type="list" allowBlank="1" showInputMessage="1" showErrorMessage="1" sqref="B37" xr:uid="{335A05EE-5590-4517-A297-6A1D447F5DD0}">
      <formula1>$U$38:$U$39</formula1>
    </dataValidation>
    <dataValidation type="list" allowBlank="1" showInputMessage="1" showErrorMessage="1" sqref="D37" xr:uid="{B0366AF7-233F-4753-A4FC-A5D8D88D5977}">
      <formula1>$W$38:$W$49</formula1>
    </dataValidation>
    <dataValidation type="list" allowBlank="1" showInputMessage="1" showErrorMessage="1" prompt="std rad = 18&quot; above door height_x000a_LHR = 12&quot; above_x000a_LHR rear torsion = 2x height + 36&quot;_x000a_54 HL = 69&quot; + DH_x000a_120 HL = 141&quot; + DH_x000a__x000a_850-11 = 129&quot; + DH_x000a_1100-18 = 225&quot; + DH" sqref="A39" xr:uid="{63231291-8174-40F8-9247-0E813F8EB4FA}">
      <formula1>$M$16:$M$353</formula1>
    </dataValidation>
    <dataValidation type="list" allowBlank="1" showInputMessage="1" showErrorMessage="1" prompt="&lt; 500# = 1/8&quot;_x000a_500-750# = 5/32&quot;_x000a_750-1000# = 3/16&quot;" sqref="C39" xr:uid="{C9E24C75-A1DB-4414-9CA6-22AEEF81997B}">
      <formula1>$O$16:$O$18</formula1>
    </dataValidation>
    <dataValidation type="list" allowBlank="1" showInputMessage="1" showErrorMessage="1" prompt="9' TALL and lower = BB-100_x000a_ALL 8' &amp; 9' WIDE = BB-100_x000a_*********_x000a_&lt; 500 lbs = BB-4_x000a_&gt; 500 lns = BB-6" sqref="A41" xr:uid="{031C485F-75B1-4A7C-8625-52A2F3EB4528}">
      <formula1>$Y$38:$Y$44</formula1>
    </dataValidation>
    <dataValidation type="list" allowBlank="1" showInputMessage="1" showErrorMessage="1" sqref="C41" xr:uid="{381A7CF5-C0DC-4699-9B02-AD81E220272F}">
      <formula1>$AA$38:$AA$41</formula1>
    </dataValidation>
    <dataValidation type="list" allowBlank="1" showInputMessage="1" showErrorMessage="1" sqref="E39" xr:uid="{F4F2390A-DB47-4662-9C9A-BC8DA649E7E0}">
      <formula1>$AC$38:$AC$41</formula1>
    </dataValidation>
    <dataValidation type="list" allowBlank="1" showInputMessage="1" showErrorMessage="1" sqref="E29:E30 E32:E34" xr:uid="{073DEE0C-CA41-4DA4-8BDB-0F5F87688378}">
      <formula1>$T$52:$T$63</formula1>
    </dataValidation>
  </dataValidations>
  <printOptions gridLines="1"/>
  <pageMargins left="0" right="0" top="0" bottom="0" header="0.3" footer="0"/>
  <pageSetup scale="79" fitToHeight="0" orientation="landscape" r:id="rId1"/>
  <ignoredErrors>
    <ignoredError sqref="F21" formula="1"/>
  </ignoredErrors>
  <tableParts count="14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5" id="{9E585775-3093-4B2C-90DE-7E9DC5E25A5D}">
            <xm:f>FAB!$E$3="None"</xm:f>
            <x14:dxf>
              <fill>
                <patternFill>
                  <bgColor theme="1"/>
                </patternFill>
              </fill>
            </x14:dxf>
          </x14:cfRule>
          <xm:sqref>A10:B12 D10:E12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823B-EBE6-4CA5-A4F2-E8F4BDFCB273}">
  <dimension ref="A1:I43"/>
  <sheetViews>
    <sheetView topLeftCell="A9" zoomScale="94" zoomScaleNormal="115" workbookViewId="0">
      <selection activeCell="F53" sqref="F53"/>
    </sheetView>
  </sheetViews>
  <sheetFormatPr defaultColWidth="8.85546875" defaultRowHeight="12" x14ac:dyDescent="0.2"/>
  <cols>
    <col min="1" max="1" width="16.42578125" style="6" bestFit="1" customWidth="1"/>
    <col min="2" max="2" width="32.140625" style="6" bestFit="1" customWidth="1"/>
    <col min="3" max="3" width="11.140625" style="6" bestFit="1" customWidth="1"/>
    <col min="4" max="4" width="16.85546875" style="6" bestFit="1" customWidth="1"/>
    <col min="5" max="5" width="15.7109375" style="6" customWidth="1"/>
    <col min="6" max="6" width="13.140625" style="6" customWidth="1"/>
    <col min="7" max="7" width="13.85546875" style="6" customWidth="1"/>
    <col min="8" max="8" width="14.28515625" style="6" customWidth="1"/>
    <col min="9" max="16384" width="8.85546875" style="6"/>
  </cols>
  <sheetData>
    <row r="1" spans="1:8" ht="12.75" thickBot="1" x14ac:dyDescent="0.25">
      <c r="A1" s="86" t="str" cm="1">
        <f t="array" ref="A1">_xlfn.XLOOKUP(1, (Dropdown!A2:A8=FAB!B15)*(Dropdown!B2:B8=FAB!B16),Dropdown!E2:E8)</f>
        <v>Field</v>
      </c>
      <c r="B1" s="87"/>
      <c r="C1" s="87"/>
      <c r="D1" s="87"/>
      <c r="E1" s="87"/>
      <c r="F1" s="87"/>
      <c r="G1" s="87"/>
      <c r="H1" s="88"/>
    </row>
    <row r="2" spans="1:8" x14ac:dyDescent="0.2">
      <c r="A2" s="47" t="s">
        <v>215</v>
      </c>
      <c r="B2" s="49"/>
      <c r="C2" s="47" t="s">
        <v>28</v>
      </c>
      <c r="D2" s="48"/>
      <c r="E2" s="48"/>
      <c r="F2" s="48"/>
      <c r="G2" s="48"/>
      <c r="H2" s="49"/>
    </row>
    <row r="3" spans="1:8" x14ac:dyDescent="0.2">
      <c r="A3" s="4" t="s">
        <v>15</v>
      </c>
      <c r="B3" s="23" t="str">
        <f>IF(ISBLANK(FAB!B6),"",FAB!B6)</f>
        <v/>
      </c>
      <c r="C3" s="4" t="s">
        <v>20</v>
      </c>
      <c r="D3" s="24">
        <f>FAB!B13</f>
        <v>0</v>
      </c>
      <c r="E3" s="24">
        <f>FAB!C13</f>
        <v>0</v>
      </c>
      <c r="F3" s="6" t="s">
        <v>170</v>
      </c>
      <c r="G3" s="24">
        <f>FAB!B12</f>
        <v>0</v>
      </c>
      <c r="H3" s="23">
        <f>FAB!C12</f>
        <v>0</v>
      </c>
    </row>
    <row r="4" spans="1:8" x14ac:dyDescent="0.2">
      <c r="A4" s="4" t="s">
        <v>16</v>
      </c>
      <c r="B4" s="23" t="str">
        <f>IF(ISBLANK(FAB!B7),"",FAB!B7)</f>
        <v/>
      </c>
      <c r="C4" s="4" t="s">
        <v>27</v>
      </c>
      <c r="D4" s="24" t="str">
        <f>IF(ISBLANK(FAB!B17),"",FAB!B17)</f>
        <v/>
      </c>
      <c r="E4" s="6" t="s">
        <v>173</v>
      </c>
      <c r="F4" s="24" t="str">
        <f>IF(ISBLANK(FAB!D23),"",FAB!D23)</f>
        <v/>
      </c>
      <c r="G4" s="6" t="s">
        <v>121</v>
      </c>
      <c r="H4" s="23" t="str">
        <f>IF(ISBLANK(FAB!B20),"",FAB!B20)</f>
        <v/>
      </c>
    </row>
    <row r="5" spans="1:8" x14ac:dyDescent="0.2">
      <c r="A5" s="4" t="s">
        <v>18</v>
      </c>
      <c r="B5" s="23" t="str">
        <f>IF(ISBLANK(FAB!B8),"",FAB!B8)</f>
        <v/>
      </c>
      <c r="C5" s="4" t="s">
        <v>171</v>
      </c>
      <c r="D5" s="24" t="str">
        <f>IF(ISBLANK(FAB!B18),"",FAB!B18)</f>
        <v/>
      </c>
      <c r="E5" s="6" t="s">
        <v>174</v>
      </c>
      <c r="F5" s="24" t="str">
        <f>IF(ISBLANK(FAB!B21),IF(ISBLANK(FAB!B22),"",(FAB!B22-12)),FAB!B21)</f>
        <v/>
      </c>
      <c r="G5" s="6" t="s">
        <v>176</v>
      </c>
      <c r="H5" s="23" t="e">
        <f>IF(F5&gt;0,F5-L3,0)</f>
        <v>#VALUE!</v>
      </c>
    </row>
    <row r="6" spans="1:8" x14ac:dyDescent="0.2">
      <c r="A6" s="4" t="s">
        <v>169</v>
      </c>
      <c r="B6" s="23" t="str">
        <f>IF(ISBLANK(FAB!B9),"",FAB!B9)</f>
        <v/>
      </c>
      <c r="C6" s="4" t="s">
        <v>172</v>
      </c>
      <c r="D6" s="24" t="str">
        <f>IF(ISBLANK(FAB!B23),"",FAB!B23)</f>
        <v/>
      </c>
      <c r="E6" s="6" t="s">
        <v>175</v>
      </c>
      <c r="F6" s="24" t="str">
        <f>IF(ISBLANK(FAB!B22),IF(ISBLANK(FAB!B21),"",(FAB!B21+12)),FAB!B22)</f>
        <v/>
      </c>
      <c r="G6" s="6" t="s">
        <v>177</v>
      </c>
      <c r="H6" s="23" t="e">
        <f>IF(ISBLANK(H5),"",H5-7)</f>
        <v>#VALUE!</v>
      </c>
    </row>
    <row r="7" spans="1:8" x14ac:dyDescent="0.2">
      <c r="A7" s="4" t="s">
        <v>257</v>
      </c>
      <c r="B7" s="25">
        <f>FAB!B5</f>
        <v>0</v>
      </c>
      <c r="C7" s="4" t="s">
        <v>254</v>
      </c>
      <c r="D7" s="24">
        <f>FAB!D18</f>
        <v>0</v>
      </c>
      <c r="E7" s="6" t="s">
        <v>30</v>
      </c>
      <c r="F7" s="24" t="str">
        <f>IF(ISBLANK(FAB!B19),"",FAB!B19)</f>
        <v/>
      </c>
      <c r="G7" s="6" t="s">
        <v>173</v>
      </c>
      <c r="H7" s="23" t="str">
        <f>IF(ISBLANK(FAB!D23),"",FAB!D23)</f>
        <v/>
      </c>
    </row>
    <row r="8" spans="1:8" ht="12.75" thickBot="1" x14ac:dyDescent="0.25">
      <c r="A8" s="4" t="s">
        <v>258</v>
      </c>
      <c r="B8" s="23">
        <f>FAB!B4</f>
        <v>0</v>
      </c>
      <c r="C8" s="11" t="s">
        <v>123</v>
      </c>
      <c r="D8" s="27">
        <f>FAB!D17</f>
        <v>0</v>
      </c>
      <c r="E8" s="8" t="s">
        <v>186</v>
      </c>
      <c r="F8" s="27">
        <f>IF(INT(L5)=L5,L5,INT(L5)+1)</f>
        <v>0</v>
      </c>
      <c r="G8" s="8" t="s">
        <v>187</v>
      </c>
      <c r="H8" s="26">
        <f>INT(IF(D3&lt;8,1,PRODUCT(1/40, L2)))</f>
        <v>1</v>
      </c>
    </row>
    <row r="9" spans="1:8" x14ac:dyDescent="0.2">
      <c r="A9" s="47" t="s">
        <v>262</v>
      </c>
      <c r="B9" s="49"/>
      <c r="C9" s="48" t="s">
        <v>53</v>
      </c>
      <c r="D9" s="48"/>
      <c r="E9" s="48"/>
      <c r="F9" s="48"/>
      <c r="G9" s="48"/>
      <c r="H9" s="49"/>
    </row>
    <row r="10" spans="1:8" ht="12.75" thickBot="1" x14ac:dyDescent="0.25">
      <c r="A10" s="4" t="s">
        <v>263</v>
      </c>
      <c r="B10" s="23">
        <f>Enginering!E18</f>
        <v>0</v>
      </c>
      <c r="C10" s="8" t="s">
        <v>260</v>
      </c>
      <c r="D10" s="27">
        <f>FAB!E3</f>
        <v>0</v>
      </c>
      <c r="E10" s="8" t="s">
        <v>261</v>
      </c>
      <c r="F10" s="27" t="str">
        <f>Enginering!B11</f>
        <v/>
      </c>
      <c r="G10" s="8" t="s">
        <v>243</v>
      </c>
      <c r="H10" s="26">
        <f>FAB!E8</f>
        <v>0</v>
      </c>
    </row>
    <row r="11" spans="1:8" x14ac:dyDescent="0.2">
      <c r="A11" s="4" t="s">
        <v>264</v>
      </c>
      <c r="B11" s="24" t="str">
        <f>Enginering!B22</f>
        <v>22" x 1.5" horizontal angle 14ga short</v>
      </c>
      <c r="C11" s="47" t="s">
        <v>639</v>
      </c>
      <c r="D11" s="48"/>
      <c r="E11" s="48"/>
      <c r="F11" s="48"/>
      <c r="G11" s="48"/>
      <c r="H11" s="49"/>
    </row>
    <row r="12" spans="1:8" x14ac:dyDescent="0.2">
      <c r="A12" s="4" t="s">
        <v>188</v>
      </c>
      <c r="B12" s="24" t="str">
        <f>Enginering!B18</f>
        <v/>
      </c>
      <c r="C12" s="76" t="s">
        <v>640</v>
      </c>
      <c r="D12" s="82"/>
      <c r="E12" s="24">
        <f>Enginering!E40</f>
        <v>0</v>
      </c>
      <c r="F12" s="98">
        <f>Enginering!B36</f>
        <v>0</v>
      </c>
      <c r="G12" s="98"/>
      <c r="H12" s="5" t="s">
        <v>565</v>
      </c>
    </row>
    <row r="13" spans="1:8" ht="15" x14ac:dyDescent="0.25">
      <c r="A13" s="4" t="str">
        <f>IF(D5="Jamb Bracket","Jamb Bracket Pair","Angle Mount Pair")</f>
        <v>Angle Mount Pair</v>
      </c>
      <c r="B13" s="24" t="str">
        <f>Enginering!B19</f>
        <v/>
      </c>
      <c r="C13" s="107" t="s">
        <v>641</v>
      </c>
      <c r="D13" s="108"/>
      <c r="E13" s="24">
        <f>E12</f>
        <v>0</v>
      </c>
      <c r="F13" s="98">
        <f>Enginering!D36</f>
        <v>0</v>
      </c>
      <c r="G13" s="98"/>
      <c r="H13" s="5" t="s">
        <v>565</v>
      </c>
    </row>
    <row r="14" spans="1:8" ht="12.75" x14ac:dyDescent="0.2">
      <c r="A14" s="4" t="s">
        <v>287</v>
      </c>
      <c r="B14" s="24" t="str">
        <f>Enginering!B20</f>
        <v/>
      </c>
      <c r="C14" s="109" t="s">
        <v>642</v>
      </c>
      <c r="D14" s="110"/>
      <c r="E14" s="24">
        <f>Enginering!R52</f>
        <v>0</v>
      </c>
      <c r="F14" s="42" t="s">
        <v>545</v>
      </c>
      <c r="G14" s="24" t="str">
        <f>Enginering!A41</f>
        <v>BB-100</v>
      </c>
      <c r="H14" s="5" t="s">
        <v>565</v>
      </c>
    </row>
    <row r="15" spans="1:8" x14ac:dyDescent="0.2">
      <c r="A15" s="41" t="s">
        <v>649</v>
      </c>
      <c r="B15" s="24" t="b">
        <f>Enginering!E19</f>
        <v>0</v>
      </c>
      <c r="C15" s="76" t="s">
        <v>643</v>
      </c>
      <c r="D15" s="82"/>
      <c r="E15" s="24">
        <f>Enginering!A39</f>
        <v>0</v>
      </c>
      <c r="F15" s="6" t="s">
        <v>557</v>
      </c>
      <c r="G15" s="98" t="str">
        <f>Enginering!C41</f>
        <v>commercial adjustable top bracket</v>
      </c>
      <c r="H15" s="99"/>
    </row>
    <row r="16" spans="1:8" ht="12.75" thickBot="1" x14ac:dyDescent="0.25">
      <c r="A16" s="41" t="str">
        <f>Enginering!F20</f>
        <v>1</v>
      </c>
      <c r="B16" s="24" t="b">
        <f>Enginering!E20</f>
        <v>0</v>
      </c>
      <c r="C16" s="76" t="s">
        <v>644</v>
      </c>
      <c r="D16" s="82"/>
      <c r="E16" s="24">
        <f>Enginering!C39</f>
        <v>0</v>
      </c>
      <c r="F16" s="6" t="s">
        <v>564</v>
      </c>
      <c r="G16" s="98">
        <f>Enginering!C42</f>
        <v>2</v>
      </c>
      <c r="H16" s="99"/>
    </row>
    <row r="17" spans="1:9" x14ac:dyDescent="0.2">
      <c r="A17" s="41" t="b">
        <f>Enginering!F21</f>
        <v>0</v>
      </c>
      <c r="B17" s="24" t="str">
        <f>Enginering!D21</f>
        <v>Junction Plate</v>
      </c>
      <c r="C17" s="76" t="str">
        <f>Enginering!H17</f>
        <v>#1 hinge 14ga</v>
      </c>
      <c r="D17" s="82"/>
      <c r="E17" s="24">
        <f>Enginering!G17+Enginering!I17</f>
        <v>0</v>
      </c>
      <c r="F17" s="47" t="s">
        <v>311</v>
      </c>
      <c r="G17" s="48"/>
      <c r="H17" s="49"/>
    </row>
    <row r="18" spans="1:9" x14ac:dyDescent="0.2">
      <c r="A18" s="41" t="str">
        <f>Enginering!F22</f>
        <v>1</v>
      </c>
      <c r="B18" s="24" t="b">
        <f>Enginering!E22</f>
        <v>0</v>
      </c>
      <c r="C18" s="76" t="str">
        <f>Enginering!H18</f>
        <v>#2 hinge 14ga</v>
      </c>
      <c r="D18" s="82"/>
      <c r="E18" s="24">
        <f>Enginering!G18+Enginering!I18</f>
        <v>0</v>
      </c>
      <c r="F18" s="76" t="s">
        <v>311</v>
      </c>
      <c r="G18" s="82"/>
      <c r="H18" s="5" t="s">
        <v>613</v>
      </c>
    </row>
    <row r="19" spans="1:9" x14ac:dyDescent="0.2">
      <c r="A19" s="4" t="s">
        <v>650</v>
      </c>
      <c r="B19" s="24">
        <f>Enginering!D37</f>
        <v>0</v>
      </c>
      <c r="C19" s="76" t="str">
        <f>Enginering!H19</f>
        <v>#3 hinge 14ga</v>
      </c>
      <c r="D19" s="82"/>
      <c r="E19" s="24">
        <f>Enginering!G19+Enginering!I19</f>
        <v>0</v>
      </c>
      <c r="F19" s="100" t="str">
        <f>Enginering!A34</f>
        <v>10'9"x1" 14ga tube shaft</v>
      </c>
      <c r="G19" s="98"/>
      <c r="H19" s="23">
        <f>Enginering!D34</f>
        <v>5</v>
      </c>
    </row>
    <row r="20" spans="1:9" x14ac:dyDescent="0.2">
      <c r="A20" s="4" t="s">
        <v>485</v>
      </c>
      <c r="B20" s="24">
        <f>Enginering!B37</f>
        <v>0</v>
      </c>
      <c r="C20" s="76" t="str">
        <f>Enginering!H20</f>
        <v>#4 hinge 14ga</v>
      </c>
      <c r="D20" s="82"/>
      <c r="E20" s="24">
        <f>Enginering!G20+Enginering!I20</f>
        <v>0</v>
      </c>
      <c r="F20" s="100" t="str">
        <f>Enginering!A35</f>
        <v>10'9"x1" 14ga tube shaft</v>
      </c>
      <c r="G20" s="98"/>
      <c r="H20" s="23">
        <f>Enginering!D35</f>
        <v>10</v>
      </c>
    </row>
    <row r="21" spans="1:9" ht="12.75" thickBot="1" x14ac:dyDescent="0.25">
      <c r="A21" s="11" t="s">
        <v>463</v>
      </c>
      <c r="B21" s="27">
        <f>Enginering!D37</f>
        <v>0</v>
      </c>
      <c r="C21" s="76" t="str">
        <f>Enginering!H21</f>
        <v>#5 hinge 14ga</v>
      </c>
      <c r="D21" s="82"/>
      <c r="E21" s="24">
        <f>Enginering!G21+Enginering!I21</f>
        <v>0</v>
      </c>
      <c r="F21" s="76" t="str">
        <f>Enginering!J34</f>
        <v>Coupler</v>
      </c>
      <c r="G21" s="82"/>
      <c r="H21" s="23">
        <f>IF(F21&gt;" ",1," ")</f>
        <v>1</v>
      </c>
    </row>
    <row r="22" spans="1:9" ht="12.75" thickBot="1" x14ac:dyDescent="0.25">
      <c r="A22" s="47" t="s">
        <v>651</v>
      </c>
      <c r="B22" s="49"/>
      <c r="C22" s="76" t="str">
        <f>Enginering!H22</f>
        <v>#6 hinge 13ga</v>
      </c>
      <c r="D22" s="82"/>
      <c r="E22" s="24">
        <f>Enginering!G22+Enginering!I22</f>
        <v>0</v>
      </c>
      <c r="F22" s="65" t="str">
        <f>Enginering!G37</f>
        <v>1/4" x 3" keyway bent</v>
      </c>
      <c r="G22" s="66"/>
      <c r="H22" s="26">
        <f>IF(F22&gt;" ",4," ")</f>
        <v>4</v>
      </c>
    </row>
    <row r="23" spans="1:9" x14ac:dyDescent="0.2">
      <c r="A23" s="41">
        <f>Enginering!G29</f>
        <v>0</v>
      </c>
      <c r="B23" s="5" t="str">
        <f>Enginering!H29</f>
        <v>Dry Wall Screws</v>
      </c>
      <c r="C23" s="76" t="str">
        <f>Enginering!H23</f>
        <v>#7 hinge 11ga</v>
      </c>
      <c r="D23" s="82"/>
      <c r="E23" s="24">
        <f>Enginering!G23+Enginering!I23</f>
        <v>0</v>
      </c>
      <c r="F23" s="57" t="s">
        <v>237</v>
      </c>
      <c r="G23" s="57"/>
      <c r="H23" s="23" t="str">
        <f>Enginering!E4</f>
        <v/>
      </c>
    </row>
    <row r="24" spans="1:9" x14ac:dyDescent="0.2">
      <c r="A24" s="41">
        <f>Enginering!I33</f>
        <v>1</v>
      </c>
      <c r="B24" s="5" t="str">
        <f>Enginering!J33</f>
        <v>#1 Bolt Bag</v>
      </c>
      <c r="C24" s="76" t="str">
        <f>Enginering!H24</f>
        <v>#8 hinge 11ga</v>
      </c>
      <c r="D24" s="82"/>
      <c r="E24" s="24">
        <f>Enginering!G24+Enginering!I24</f>
        <v>0</v>
      </c>
      <c r="F24" s="82" t="str">
        <f>Enginering!B40</f>
        <v>Long Rollers</v>
      </c>
      <c r="G24" s="82"/>
      <c r="H24" s="23" t="str">
        <f>Enginering!A40</f>
        <v>4</v>
      </c>
    </row>
    <row r="25" spans="1:9" x14ac:dyDescent="0.2">
      <c r="A25" s="41">
        <f>Enginering!I28</f>
        <v>0</v>
      </c>
      <c r="B25" s="5" t="str">
        <f>Enginering!J28</f>
        <v>#1 Steel Bag</v>
      </c>
      <c r="C25" s="76" t="str">
        <f>Enginering!H25</f>
        <v>#9 hinge 11ga</v>
      </c>
      <c r="D25" s="82"/>
      <c r="E25" s="24">
        <f>Enginering!G25+Enginering!I25</f>
        <v>0</v>
      </c>
      <c r="F25" s="82" t="str">
        <f>Enginering!D40</f>
        <v>Short Rollers</v>
      </c>
      <c r="G25" s="82"/>
      <c r="H25" s="23" t="str">
        <f>Enginering!C40</f>
        <v/>
      </c>
    </row>
    <row r="26" spans="1:9" x14ac:dyDescent="0.2">
      <c r="A26" s="41">
        <f>Enginering!I29</f>
        <v>0</v>
      </c>
      <c r="B26" s="5" t="str">
        <f>Enginering!J29</f>
        <v>#2 Steel Bag</v>
      </c>
      <c r="C26" s="76" t="s">
        <v>645</v>
      </c>
      <c r="D26" s="82"/>
      <c r="E26" s="24">
        <f>Enginering!G28</f>
        <v>-4</v>
      </c>
      <c r="F26" s="82" t="s">
        <v>646</v>
      </c>
      <c r="G26" s="82"/>
      <c r="H26" s="23">
        <f>Enginering!G30</f>
        <v>1</v>
      </c>
    </row>
    <row r="27" spans="1:9" x14ac:dyDescent="0.2">
      <c r="A27" s="41">
        <f>Enginering!I30</f>
        <v>0</v>
      </c>
      <c r="B27" s="5" t="str">
        <f>Enginering!J30</f>
        <v>#4 Comm Pkg</v>
      </c>
      <c r="C27" s="76" t="s">
        <v>647</v>
      </c>
      <c r="D27" s="82"/>
      <c r="E27" s="24">
        <f>Enginering!G31</f>
        <v>1</v>
      </c>
      <c r="F27" s="82" t="s">
        <v>648</v>
      </c>
      <c r="G27" s="82"/>
      <c r="H27" s="23">
        <f>Enginering!G32</f>
        <v>1</v>
      </c>
    </row>
    <row r="28" spans="1:9" ht="15" customHeight="1" x14ac:dyDescent="0.2">
      <c r="A28" s="41">
        <f>Enginering!I32</f>
        <v>0</v>
      </c>
      <c r="B28" s="5" t="str">
        <f>Enginering!J32</f>
        <v>2nd Cab</v>
      </c>
      <c r="C28" s="100" t="str">
        <f>Enginering!G34</f>
        <v>leaf bumper spring w/ bracket</v>
      </c>
      <c r="D28" s="98"/>
      <c r="E28" s="24" t="str">
        <f>IF(C28="leaf bumper spring w/ bracket","1"," ")</f>
        <v>1</v>
      </c>
      <c r="F28" s="42" t="s">
        <v>485</v>
      </c>
      <c r="G28" s="98">
        <f>IF(H4="High Lift"," ",B20)</f>
        <v>0</v>
      </c>
      <c r="H28" s="99"/>
    </row>
    <row r="29" spans="1:9" ht="12.75" thickBot="1" x14ac:dyDescent="0.25">
      <c r="A29" s="43"/>
      <c r="B29" s="44"/>
      <c r="C29" s="4" t="s">
        <v>463</v>
      </c>
      <c r="D29" s="98">
        <f>IF(H4="High Lift"," ",B21)</f>
        <v>0</v>
      </c>
      <c r="E29" s="98"/>
      <c r="F29" s="35"/>
      <c r="G29" s="35"/>
      <c r="H29" s="32"/>
    </row>
    <row r="30" spans="1:9" x14ac:dyDescent="0.2">
      <c r="A30" s="105" t="s">
        <v>423</v>
      </c>
      <c r="B30" s="106"/>
      <c r="C30" s="47" t="s">
        <v>122</v>
      </c>
      <c r="D30" s="48"/>
      <c r="E30" s="48"/>
      <c r="F30" s="48"/>
      <c r="G30" s="48"/>
      <c r="H30" s="49"/>
    </row>
    <row r="31" spans="1:9" x14ac:dyDescent="0.2">
      <c r="A31" s="41">
        <f>Enginering!E31</f>
        <v>0</v>
      </c>
      <c r="B31" s="6">
        <f>Enginering!E29</f>
        <v>0</v>
      </c>
      <c r="C31" s="41">
        <f>Enginering!F24</f>
        <v>0</v>
      </c>
      <c r="D31" s="6" t="s">
        <v>652</v>
      </c>
      <c r="E31" s="6">
        <f>Enginering!B32</f>
        <v>0</v>
      </c>
      <c r="F31" s="82" t="s">
        <v>325</v>
      </c>
      <c r="G31" s="82"/>
      <c r="H31" s="5" t="s">
        <v>328</v>
      </c>
    </row>
    <row r="32" spans="1:9" x14ac:dyDescent="0.2">
      <c r="A32" s="41">
        <f>Enginering!E34</f>
        <v>0</v>
      </c>
      <c r="B32" s="6">
        <f>Enginering!E32</f>
        <v>0</v>
      </c>
      <c r="C32" s="41">
        <f>Enginering!F25</f>
        <v>0</v>
      </c>
      <c r="D32" s="6" t="s">
        <v>653</v>
      </c>
      <c r="E32" s="6" t="s">
        <v>319</v>
      </c>
      <c r="F32" s="98">
        <f>Enginering!B25</f>
        <v>0</v>
      </c>
      <c r="G32" s="98"/>
      <c r="H32" s="23">
        <f>Enginering!D25</f>
        <v>0</v>
      </c>
      <c r="I32" s="42"/>
    </row>
    <row r="33" spans="1:8" ht="12.75" thickBot="1" x14ac:dyDescent="0.25">
      <c r="A33" s="40">
        <f>Enginering!E35</f>
        <v>0</v>
      </c>
      <c r="B33" s="8" t="s">
        <v>613</v>
      </c>
      <c r="C33" s="41">
        <f>Enginering!F26</f>
        <v>0</v>
      </c>
      <c r="D33" s="6" t="s">
        <v>654</v>
      </c>
      <c r="E33" s="6" t="s">
        <v>320</v>
      </c>
      <c r="F33" s="98">
        <f>Enginering!B26</f>
        <v>0</v>
      </c>
      <c r="G33" s="98"/>
      <c r="H33" s="23">
        <f>Enginering!D26</f>
        <v>0</v>
      </c>
    </row>
    <row r="34" spans="1:8" x14ac:dyDescent="0.2">
      <c r="A34" s="47" t="s">
        <v>14</v>
      </c>
      <c r="B34" s="49"/>
      <c r="C34" s="24">
        <f>Enginering!F27</f>
        <v>0</v>
      </c>
      <c r="D34" s="6" t="s">
        <v>239</v>
      </c>
      <c r="E34" s="6" t="s">
        <v>329</v>
      </c>
      <c r="F34" s="98">
        <f>Enginering!B27</f>
        <v>0</v>
      </c>
      <c r="G34" s="98"/>
      <c r="H34" s="23">
        <f>Enginering!D27</f>
        <v>0</v>
      </c>
    </row>
    <row r="35" spans="1:8" x14ac:dyDescent="0.2">
      <c r="A35" s="101" t="str">
        <f>IF(ISBLANK(FAB!A27),"",FAB!A27)</f>
        <v/>
      </c>
      <c r="B35" s="102"/>
      <c r="C35" s="35"/>
      <c r="D35" s="35"/>
      <c r="E35" s="6" t="s">
        <v>420</v>
      </c>
      <c r="F35" s="98">
        <f>Enginering!B28</f>
        <v>0</v>
      </c>
      <c r="G35" s="98"/>
      <c r="H35" s="23">
        <f>Enginering!D28</f>
        <v>0</v>
      </c>
    </row>
    <row r="36" spans="1:8" x14ac:dyDescent="0.2">
      <c r="A36" s="101"/>
      <c r="B36" s="102"/>
      <c r="C36" s="35"/>
      <c r="D36" s="35"/>
      <c r="E36" s="6" t="s">
        <v>326</v>
      </c>
      <c r="F36" s="98">
        <f>Enginering!B29</f>
        <v>0</v>
      </c>
      <c r="G36" s="98"/>
      <c r="H36" s="23">
        <f>Enginering!D29</f>
        <v>0</v>
      </c>
    </row>
    <row r="37" spans="1:8" x14ac:dyDescent="0.2">
      <c r="A37" s="101"/>
      <c r="B37" s="102"/>
      <c r="C37" s="35"/>
      <c r="D37" s="35"/>
      <c r="E37" s="6" t="s">
        <v>327</v>
      </c>
      <c r="F37" s="98">
        <f>Enginering!B30</f>
        <v>0</v>
      </c>
      <c r="G37" s="98"/>
      <c r="H37" s="23">
        <f>Enginering!D30</f>
        <v>0</v>
      </c>
    </row>
    <row r="38" spans="1:8" ht="12.75" thickBot="1" x14ac:dyDescent="0.25">
      <c r="A38" s="101"/>
      <c r="B38" s="102"/>
      <c r="C38" s="33"/>
      <c r="D38" s="33"/>
      <c r="E38" s="8" t="s">
        <v>419</v>
      </c>
      <c r="F38" s="97">
        <f>Enginering!B31</f>
        <v>0</v>
      </c>
      <c r="G38" s="97"/>
      <c r="H38" s="26">
        <f>Enginering!D31</f>
        <v>0</v>
      </c>
    </row>
    <row r="39" spans="1:8" x14ac:dyDescent="0.2">
      <c r="A39" s="101"/>
      <c r="B39" s="102"/>
      <c r="C39" s="39"/>
      <c r="D39" s="39"/>
      <c r="E39" s="39"/>
      <c r="F39" s="39"/>
      <c r="G39" s="39"/>
      <c r="H39" s="39"/>
    </row>
    <row r="40" spans="1:8" x14ac:dyDescent="0.2">
      <c r="A40" s="101"/>
      <c r="B40" s="102"/>
      <c r="C40" s="39"/>
      <c r="D40" s="39"/>
      <c r="E40" s="39"/>
      <c r="F40" s="39"/>
      <c r="G40" s="39"/>
      <c r="H40" s="39"/>
    </row>
    <row r="41" spans="1:8" x14ac:dyDescent="0.2">
      <c r="A41" s="101"/>
      <c r="B41" s="102"/>
      <c r="C41" s="39"/>
      <c r="D41" s="39"/>
      <c r="E41" s="39"/>
      <c r="F41" s="39"/>
      <c r="G41" s="39"/>
      <c r="H41" s="39"/>
    </row>
    <row r="42" spans="1:8" x14ac:dyDescent="0.2">
      <c r="A42" s="101"/>
      <c r="B42" s="102"/>
      <c r="C42" s="39"/>
      <c r="D42" s="39"/>
      <c r="E42" s="39"/>
      <c r="F42" s="39"/>
      <c r="G42" s="39"/>
      <c r="H42" s="39"/>
    </row>
    <row r="43" spans="1:8" ht="12.75" thickBot="1" x14ac:dyDescent="0.25">
      <c r="A43" s="103"/>
      <c r="B43" s="104"/>
      <c r="C43" s="39"/>
      <c r="D43" s="39"/>
      <c r="E43" s="39"/>
      <c r="F43" s="39"/>
      <c r="G43" s="39"/>
      <c r="H43" s="39"/>
    </row>
  </sheetData>
  <mergeCells count="53">
    <mergeCell ref="A2:B2"/>
    <mergeCell ref="C2:H2"/>
    <mergeCell ref="A1:H1"/>
    <mergeCell ref="C9:H9"/>
    <mergeCell ref="A9:B9"/>
    <mergeCell ref="C15:D15"/>
    <mergeCell ref="C16:D16"/>
    <mergeCell ref="G16:H16"/>
    <mergeCell ref="G15:H15"/>
    <mergeCell ref="C11:H11"/>
    <mergeCell ref="C12:D12"/>
    <mergeCell ref="C13:D13"/>
    <mergeCell ref="C14:D14"/>
    <mergeCell ref="F12:G12"/>
    <mergeCell ref="F13:G13"/>
    <mergeCell ref="F25:G25"/>
    <mergeCell ref="C17:D17"/>
    <mergeCell ref="C18:D18"/>
    <mergeCell ref="C19:D19"/>
    <mergeCell ref="C20:D20"/>
    <mergeCell ref="C21:D21"/>
    <mergeCell ref="F17:H17"/>
    <mergeCell ref="F19:G19"/>
    <mergeCell ref="F20:G20"/>
    <mergeCell ref="F18:G18"/>
    <mergeCell ref="F21:G21"/>
    <mergeCell ref="G28:H28"/>
    <mergeCell ref="D29:E29"/>
    <mergeCell ref="A22:B22"/>
    <mergeCell ref="A30:B30"/>
    <mergeCell ref="C26:D26"/>
    <mergeCell ref="F26:G26"/>
    <mergeCell ref="C27:D27"/>
    <mergeCell ref="F27:G27"/>
    <mergeCell ref="C28:D28"/>
    <mergeCell ref="C22:D22"/>
    <mergeCell ref="C23:D23"/>
    <mergeCell ref="C24:D24"/>
    <mergeCell ref="C25:D25"/>
    <mergeCell ref="F22:G22"/>
    <mergeCell ref="F23:G23"/>
    <mergeCell ref="F24:G24"/>
    <mergeCell ref="A34:B34"/>
    <mergeCell ref="C30:H30"/>
    <mergeCell ref="F32:G32"/>
    <mergeCell ref="F33:G33"/>
    <mergeCell ref="F34:G34"/>
    <mergeCell ref="F31:G31"/>
    <mergeCell ref="F35:G35"/>
    <mergeCell ref="F36:G36"/>
    <mergeCell ref="F37:G37"/>
    <mergeCell ref="F38:G38"/>
    <mergeCell ref="A35:B43"/>
  </mergeCells>
  <conditionalFormatting sqref="A14:B14">
    <cfRule type="expression" dxfId="0" priority="1">
      <formula>$A$13="Jamb Bracket Pair"</formula>
    </cfRule>
  </conditionalFormatting>
  <printOptions gridLines="1"/>
  <pageMargins left="0.25" right="0.25" top="0.2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Dropdown</vt:lpstr>
      <vt:lpstr>FAB</vt:lpstr>
      <vt:lpstr>Enginering</vt:lpstr>
      <vt:lpstr>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Myles Page</dc:creator>
  <cp:lastModifiedBy>Myles Page</cp:lastModifiedBy>
  <cp:lastPrinted>2026-01-14T15:42:11Z</cp:lastPrinted>
  <dcterms:created xsi:type="dcterms:W3CDTF">2025-11-20T14:00:37Z</dcterms:created>
  <dcterms:modified xsi:type="dcterms:W3CDTF">2026-03-10T15:20:58Z</dcterms:modified>
</cp:coreProperties>
</file>